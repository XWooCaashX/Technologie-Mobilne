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D103CAA3-EE19-47AD-AF9E-A127DDAC06A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naliza Baru (r=2)" sheetId="1" r:id="rId1"/>
    <sheet name="Analiza Baru (r=3)" sheetId="2" r:id="rId2"/>
    <sheet name="Analiza Baru (r=4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F36" i="3"/>
  <c r="E36" i="3"/>
  <c r="G36" i="3" s="1"/>
  <c r="D36" i="3"/>
  <c r="F35" i="3"/>
  <c r="E35" i="3"/>
  <c r="G35" i="3" s="1"/>
  <c r="D35" i="3"/>
  <c r="F34" i="3"/>
  <c r="E34" i="3"/>
  <c r="G34" i="3" s="1"/>
  <c r="D34" i="3"/>
  <c r="F33" i="3"/>
  <c r="E33" i="3"/>
  <c r="G33" i="3" s="1"/>
  <c r="D33" i="3"/>
  <c r="F32" i="3"/>
  <c r="E32" i="3"/>
  <c r="G32" i="3" s="1"/>
  <c r="D32" i="3"/>
  <c r="F31" i="3"/>
  <c r="E31" i="3"/>
  <c r="G31" i="3" s="1"/>
  <c r="D31" i="3"/>
  <c r="F30" i="3"/>
  <c r="E30" i="3"/>
  <c r="G30" i="3" s="1"/>
  <c r="D30" i="3"/>
  <c r="F29" i="3"/>
  <c r="E29" i="3"/>
  <c r="G29" i="3" s="1"/>
  <c r="D29" i="3"/>
  <c r="F28" i="3"/>
  <c r="E28" i="3"/>
  <c r="G28" i="3" s="1"/>
  <c r="D28" i="3"/>
  <c r="F27" i="3"/>
  <c r="E27" i="3"/>
  <c r="G27" i="3" s="1"/>
  <c r="D27" i="3"/>
  <c r="F26" i="3"/>
  <c r="E26" i="3"/>
  <c r="G26" i="3" s="1"/>
  <c r="D26" i="3"/>
  <c r="F25" i="3"/>
  <c r="E25" i="3"/>
  <c r="G25" i="3" s="1"/>
  <c r="D25" i="3"/>
  <c r="F24" i="3"/>
  <c r="G24" i="3"/>
  <c r="D24" i="3"/>
  <c r="F23" i="3"/>
  <c r="E23" i="3"/>
  <c r="G23" i="3" s="1"/>
  <c r="D23" i="3"/>
  <c r="F22" i="3"/>
  <c r="E22" i="3"/>
  <c r="G22" i="3" s="1"/>
  <c r="D22" i="3"/>
  <c r="F21" i="3"/>
  <c r="E21" i="3"/>
  <c r="G21" i="3" s="1"/>
  <c r="D21" i="3"/>
  <c r="F20" i="3"/>
  <c r="E20" i="3"/>
  <c r="G20" i="3" s="1"/>
  <c r="D20" i="3"/>
  <c r="F19" i="3"/>
  <c r="E19" i="3"/>
  <c r="G19" i="3" s="1"/>
  <c r="D19" i="3"/>
  <c r="F18" i="3"/>
  <c r="E18" i="3"/>
  <c r="G18" i="3" s="1"/>
  <c r="D18" i="3"/>
  <c r="F17" i="3"/>
  <c r="E17" i="3"/>
  <c r="G17" i="3" s="1"/>
  <c r="D17" i="3"/>
  <c r="F16" i="3"/>
  <c r="E16" i="3"/>
  <c r="G16" i="3" s="1"/>
  <c r="D16" i="3"/>
  <c r="F15" i="3"/>
  <c r="E15" i="3"/>
  <c r="G15" i="3" s="1"/>
  <c r="D15" i="3"/>
  <c r="F14" i="3"/>
  <c r="E14" i="3"/>
  <c r="G14" i="3" s="1"/>
  <c r="D14" i="3"/>
  <c r="F13" i="3"/>
  <c r="E13" i="3"/>
  <c r="G13" i="3" s="1"/>
  <c r="D13" i="3"/>
  <c r="F12" i="3"/>
  <c r="E12" i="3"/>
  <c r="G12" i="3" s="1"/>
  <c r="D12" i="3"/>
  <c r="F11" i="3"/>
  <c r="E11" i="3"/>
  <c r="G11" i="3" s="1"/>
  <c r="D11" i="3"/>
  <c r="F10" i="3"/>
  <c r="E10" i="3"/>
  <c r="G10" i="3" s="1"/>
  <c r="D10" i="3"/>
  <c r="F9" i="3"/>
  <c r="E9" i="3"/>
  <c r="G9" i="3" s="1"/>
  <c r="D9" i="3"/>
  <c r="F8" i="3"/>
  <c r="E8" i="3"/>
  <c r="G8" i="3" s="1"/>
  <c r="D8" i="3"/>
  <c r="F7" i="3"/>
  <c r="E7" i="3"/>
  <c r="G7" i="3" s="1"/>
  <c r="D7" i="3"/>
  <c r="F6" i="3"/>
  <c r="E6" i="3"/>
  <c r="G6" i="3" s="1"/>
  <c r="D6" i="3"/>
  <c r="F5" i="3"/>
  <c r="E5" i="3"/>
  <c r="G5" i="3" s="1"/>
  <c r="D5" i="3"/>
  <c r="F36" i="2"/>
  <c r="E36" i="2"/>
  <c r="G36" i="2" s="1"/>
  <c r="D36" i="2"/>
  <c r="F35" i="2"/>
  <c r="E35" i="2"/>
  <c r="G35" i="2" s="1"/>
  <c r="D35" i="2"/>
  <c r="F34" i="2"/>
  <c r="E34" i="2"/>
  <c r="G34" i="2" s="1"/>
  <c r="D34" i="2"/>
  <c r="F33" i="2"/>
  <c r="E33" i="2"/>
  <c r="G33" i="2" s="1"/>
  <c r="D33" i="2"/>
  <c r="F32" i="2"/>
  <c r="E32" i="2"/>
  <c r="G32" i="2" s="1"/>
  <c r="D32" i="2"/>
  <c r="F31" i="2"/>
  <c r="E31" i="2"/>
  <c r="G31" i="2" s="1"/>
  <c r="D31" i="2"/>
  <c r="F30" i="2"/>
  <c r="E30" i="2"/>
  <c r="G30" i="2" s="1"/>
  <c r="D30" i="2"/>
  <c r="F29" i="2"/>
  <c r="E29" i="2"/>
  <c r="G29" i="2" s="1"/>
  <c r="D29" i="2"/>
  <c r="F28" i="2"/>
  <c r="E28" i="2"/>
  <c r="G28" i="2" s="1"/>
  <c r="D28" i="2"/>
  <c r="F27" i="2"/>
  <c r="E27" i="2"/>
  <c r="G27" i="2" s="1"/>
  <c r="D27" i="2"/>
  <c r="F26" i="2"/>
  <c r="E26" i="2"/>
  <c r="G26" i="2" s="1"/>
  <c r="D26" i="2"/>
  <c r="F25" i="2"/>
  <c r="E25" i="2"/>
  <c r="G25" i="2" s="1"/>
  <c r="D25" i="2"/>
  <c r="F24" i="2"/>
  <c r="E24" i="2"/>
  <c r="G24" i="2" s="1"/>
  <c r="D24" i="2"/>
  <c r="F23" i="2"/>
  <c r="E23" i="2"/>
  <c r="G23" i="2" s="1"/>
  <c r="D23" i="2"/>
  <c r="F22" i="2"/>
  <c r="E22" i="2"/>
  <c r="G22" i="2" s="1"/>
  <c r="D22" i="2"/>
  <c r="F21" i="2"/>
  <c r="E21" i="2"/>
  <c r="G21" i="2" s="1"/>
  <c r="D21" i="2"/>
  <c r="F20" i="2"/>
  <c r="E20" i="2"/>
  <c r="G20" i="2" s="1"/>
  <c r="D20" i="2"/>
  <c r="F19" i="2"/>
  <c r="E19" i="2"/>
  <c r="G19" i="2" s="1"/>
  <c r="D19" i="2"/>
  <c r="F18" i="2"/>
  <c r="E18" i="2"/>
  <c r="G18" i="2" s="1"/>
  <c r="D18" i="2"/>
  <c r="F17" i="2"/>
  <c r="E17" i="2"/>
  <c r="G17" i="2" s="1"/>
  <c r="D17" i="2"/>
  <c r="F16" i="2"/>
  <c r="E16" i="2"/>
  <c r="G16" i="2" s="1"/>
  <c r="D16" i="2"/>
  <c r="F15" i="2"/>
  <c r="E15" i="2"/>
  <c r="G15" i="2" s="1"/>
  <c r="D15" i="2"/>
  <c r="F14" i="2"/>
  <c r="E14" i="2"/>
  <c r="G14" i="2" s="1"/>
  <c r="D14" i="2"/>
  <c r="F13" i="2"/>
  <c r="E13" i="2"/>
  <c r="G13" i="2" s="1"/>
  <c r="D13" i="2"/>
  <c r="F12" i="2"/>
  <c r="E12" i="2"/>
  <c r="G12" i="2" s="1"/>
  <c r="D12" i="2"/>
  <c r="F11" i="2"/>
  <c r="E11" i="2"/>
  <c r="G11" i="2" s="1"/>
  <c r="D11" i="2"/>
  <c r="F10" i="2"/>
  <c r="E10" i="2"/>
  <c r="G10" i="2" s="1"/>
  <c r="D10" i="2"/>
  <c r="F9" i="2"/>
  <c r="E9" i="2"/>
  <c r="G9" i="2" s="1"/>
  <c r="D9" i="2"/>
  <c r="F8" i="2"/>
  <c r="E8" i="2"/>
  <c r="G8" i="2" s="1"/>
  <c r="D8" i="2"/>
  <c r="F7" i="2"/>
  <c r="E7" i="2"/>
  <c r="G7" i="2" s="1"/>
  <c r="D7" i="2"/>
  <c r="F6" i="2"/>
  <c r="E6" i="2"/>
  <c r="G6" i="2" s="1"/>
  <c r="D6" i="2"/>
  <c r="F5" i="2"/>
  <c r="E5" i="2"/>
  <c r="G5" i="2" s="1"/>
  <c r="D5" i="2"/>
  <c r="F36" i="1"/>
  <c r="E36" i="1"/>
  <c r="G36" i="1" s="1"/>
  <c r="D36" i="1"/>
  <c r="F35" i="1"/>
  <c r="E35" i="1"/>
  <c r="G35" i="1" s="1"/>
  <c r="D35" i="1"/>
  <c r="F34" i="1"/>
  <c r="E34" i="1"/>
  <c r="G34" i="1" s="1"/>
  <c r="D34" i="1"/>
  <c r="F33" i="1"/>
  <c r="E33" i="1"/>
  <c r="G33" i="1" s="1"/>
  <c r="D33" i="1"/>
  <c r="F32" i="1"/>
  <c r="E32" i="1"/>
  <c r="G32" i="1" s="1"/>
  <c r="D32" i="1"/>
  <c r="F31" i="1"/>
  <c r="E31" i="1"/>
  <c r="G31" i="1" s="1"/>
  <c r="D31" i="1"/>
  <c r="F30" i="1"/>
  <c r="E30" i="1"/>
  <c r="G30" i="1" s="1"/>
  <c r="D30" i="1"/>
  <c r="F29" i="1"/>
  <c r="E29" i="1"/>
  <c r="G29" i="1" s="1"/>
  <c r="D29" i="1"/>
  <c r="F28" i="1"/>
  <c r="E28" i="1"/>
  <c r="G28" i="1" s="1"/>
  <c r="D28" i="1"/>
  <c r="F27" i="1"/>
  <c r="E27" i="1"/>
  <c r="G27" i="1" s="1"/>
  <c r="D27" i="1"/>
  <c r="F26" i="1"/>
  <c r="E26" i="1"/>
  <c r="G26" i="1" s="1"/>
  <c r="D26" i="1"/>
  <c r="F25" i="1"/>
  <c r="E25" i="1"/>
  <c r="G25" i="1" s="1"/>
  <c r="D25" i="1"/>
  <c r="F24" i="1"/>
  <c r="E24" i="1"/>
  <c r="G24" i="1" s="1"/>
  <c r="D24" i="1"/>
  <c r="F23" i="1"/>
  <c r="E23" i="1"/>
  <c r="G23" i="1" s="1"/>
  <c r="D23" i="1"/>
  <c r="F22" i="1"/>
  <c r="E22" i="1"/>
  <c r="G22" i="1" s="1"/>
  <c r="D22" i="1"/>
  <c r="F21" i="1"/>
  <c r="E21" i="1"/>
  <c r="G21" i="1" s="1"/>
  <c r="D21" i="1"/>
  <c r="F20" i="1"/>
  <c r="E20" i="1"/>
  <c r="G20" i="1" s="1"/>
  <c r="D20" i="1"/>
  <c r="F19" i="1"/>
  <c r="E19" i="1"/>
  <c r="G19" i="1" s="1"/>
  <c r="D19" i="1"/>
  <c r="F18" i="1"/>
  <c r="E18" i="1"/>
  <c r="G18" i="1" s="1"/>
  <c r="D18" i="1"/>
  <c r="F17" i="1"/>
  <c r="E17" i="1"/>
  <c r="G17" i="1" s="1"/>
  <c r="D17" i="1"/>
  <c r="F16" i="1"/>
  <c r="E16" i="1"/>
  <c r="G16" i="1" s="1"/>
  <c r="D16" i="1"/>
  <c r="F15" i="1"/>
  <c r="E15" i="1"/>
  <c r="G15" i="1" s="1"/>
  <c r="D15" i="1"/>
  <c r="F14" i="1"/>
  <c r="E14" i="1"/>
  <c r="G14" i="1" s="1"/>
  <c r="D14" i="1"/>
  <c r="F13" i="1"/>
  <c r="E13" i="1"/>
  <c r="G13" i="1" s="1"/>
  <c r="D13" i="1"/>
  <c r="F12" i="1"/>
  <c r="E12" i="1"/>
  <c r="G12" i="1" s="1"/>
  <c r="D12" i="1"/>
  <c r="F11" i="1"/>
  <c r="E11" i="1"/>
  <c r="G11" i="1" s="1"/>
  <c r="D11" i="1"/>
  <c r="F10" i="1"/>
  <c r="E10" i="1"/>
  <c r="G10" i="1" s="1"/>
  <c r="D10" i="1"/>
  <c r="F9" i="1"/>
  <c r="E9" i="1"/>
  <c r="G9" i="1" s="1"/>
  <c r="D9" i="1"/>
  <c r="F8" i="1"/>
  <c r="E8" i="1"/>
  <c r="G8" i="1" s="1"/>
  <c r="D8" i="1"/>
  <c r="F7" i="1"/>
  <c r="E7" i="1"/>
  <c r="G7" i="1" s="1"/>
  <c r="D7" i="1"/>
  <c r="F6" i="1"/>
  <c r="E6" i="1"/>
  <c r="G6" i="1" s="1"/>
  <c r="D6" i="1"/>
  <c r="F5" i="1"/>
  <c r="E5" i="1"/>
  <c r="G5" i="1" s="1"/>
  <c r="D5" i="1"/>
  <c r="H5" i="1" l="1"/>
  <c r="I5" i="1" s="1"/>
  <c r="J5" i="1" s="1"/>
  <c r="I6" i="1"/>
  <c r="J6" i="1" s="1"/>
  <c r="H6" i="1"/>
  <c r="I7" i="1"/>
  <c r="J7" i="1" s="1"/>
  <c r="H7" i="1"/>
  <c r="I8" i="1"/>
  <c r="J8" i="1" s="1"/>
  <c r="H8" i="1"/>
  <c r="I9" i="1"/>
  <c r="J9" i="1" s="1"/>
  <c r="H9" i="1"/>
  <c r="I10" i="1"/>
  <c r="J10" i="1" s="1"/>
  <c r="H10" i="1"/>
  <c r="I11" i="1"/>
  <c r="J11" i="1" s="1"/>
  <c r="H11" i="1"/>
  <c r="I12" i="1"/>
  <c r="J12" i="1" s="1"/>
  <c r="H12" i="1"/>
  <c r="I13" i="1"/>
  <c r="J13" i="1" s="1"/>
  <c r="H13" i="1"/>
  <c r="I14" i="1"/>
  <c r="J14" i="1" s="1"/>
  <c r="H14" i="1"/>
  <c r="I15" i="1"/>
  <c r="J15" i="1" s="1"/>
  <c r="H15" i="1"/>
  <c r="I16" i="1"/>
  <c r="J16" i="1" s="1"/>
  <c r="H16" i="1"/>
  <c r="I17" i="1"/>
  <c r="J17" i="1" s="1"/>
  <c r="H17" i="1"/>
  <c r="I18" i="1"/>
  <c r="J18" i="1" s="1"/>
  <c r="H18" i="1"/>
  <c r="I19" i="1"/>
  <c r="J19" i="1" s="1"/>
  <c r="H19" i="1"/>
  <c r="I20" i="1"/>
  <c r="J20" i="1" s="1"/>
  <c r="H20" i="1"/>
  <c r="I21" i="1"/>
  <c r="J21" i="1" s="1"/>
  <c r="H21" i="1"/>
  <c r="I22" i="1"/>
  <c r="J22" i="1" s="1"/>
  <c r="H22" i="1"/>
  <c r="I23" i="1"/>
  <c r="J23" i="1" s="1"/>
  <c r="H23" i="1"/>
  <c r="H24" i="1"/>
  <c r="I24" i="1" s="1"/>
  <c r="J24" i="1" s="1"/>
  <c r="H25" i="1"/>
  <c r="I25" i="1" s="1"/>
  <c r="J25" i="1" s="1"/>
  <c r="H26" i="1"/>
  <c r="I26" i="1" s="1"/>
  <c r="J26" i="1" s="1"/>
  <c r="H27" i="1"/>
  <c r="I27" i="1" s="1"/>
  <c r="J27" i="1" s="1"/>
  <c r="H28" i="1"/>
  <c r="I28" i="1" s="1"/>
  <c r="J28" i="1" s="1"/>
  <c r="H29" i="1"/>
  <c r="I29" i="1" s="1"/>
  <c r="J29" i="1" s="1"/>
  <c r="H30" i="1"/>
  <c r="I30" i="1" s="1"/>
  <c r="J30" i="1" s="1"/>
  <c r="H31" i="1"/>
  <c r="I31" i="1" s="1"/>
  <c r="J31" i="1" s="1"/>
  <c r="H32" i="1"/>
  <c r="I32" i="1" s="1"/>
  <c r="J32" i="1" s="1"/>
  <c r="H33" i="1"/>
  <c r="I33" i="1" s="1"/>
  <c r="J33" i="1" s="1"/>
  <c r="H34" i="1"/>
  <c r="I34" i="1" s="1"/>
  <c r="J34" i="1" s="1"/>
  <c r="H35" i="1"/>
  <c r="I35" i="1" s="1"/>
  <c r="J35" i="1" s="1"/>
  <c r="H36" i="1"/>
  <c r="I36" i="1" s="1"/>
  <c r="J36" i="1" s="1"/>
  <c r="H5" i="2"/>
  <c r="I5" i="2" s="1"/>
  <c r="J5" i="2" s="1"/>
  <c r="I6" i="2"/>
  <c r="J6" i="2" s="1"/>
  <c r="H6" i="2"/>
  <c r="I7" i="2"/>
  <c r="J7" i="2" s="1"/>
  <c r="H7" i="2"/>
  <c r="H8" i="2"/>
  <c r="I8" i="2" s="1"/>
  <c r="J8" i="2" s="1"/>
  <c r="H9" i="2"/>
  <c r="I9" i="2" s="1"/>
  <c r="J9" i="2" s="1"/>
  <c r="H10" i="2"/>
  <c r="I10" i="2" s="1"/>
  <c r="J10" i="2" s="1"/>
  <c r="H11" i="2"/>
  <c r="I11" i="2" s="1"/>
  <c r="J11" i="2" s="1"/>
  <c r="H12" i="2"/>
  <c r="I12" i="2" s="1"/>
  <c r="J12" i="2" s="1"/>
  <c r="H13" i="2"/>
  <c r="I13" i="2" s="1"/>
  <c r="J13" i="2" s="1"/>
  <c r="H14" i="2"/>
  <c r="I14" i="2" s="1"/>
  <c r="J14" i="2" s="1"/>
  <c r="H15" i="2"/>
  <c r="I15" i="2" s="1"/>
  <c r="J15" i="2" s="1"/>
  <c r="H16" i="2"/>
  <c r="I16" i="2" s="1"/>
  <c r="J16" i="2" s="1"/>
  <c r="H17" i="2"/>
  <c r="I17" i="2" s="1"/>
  <c r="J17" i="2" s="1"/>
  <c r="H18" i="2"/>
  <c r="I18" i="2" s="1"/>
  <c r="J18" i="2" s="1"/>
  <c r="H19" i="2"/>
  <c r="I19" i="2" s="1"/>
  <c r="J19" i="2" s="1"/>
  <c r="H20" i="2"/>
  <c r="I20" i="2" s="1"/>
  <c r="J20" i="2" s="1"/>
  <c r="H21" i="2"/>
  <c r="I21" i="2" s="1"/>
  <c r="J21" i="2" s="1"/>
  <c r="H22" i="2"/>
  <c r="I22" i="2" s="1"/>
  <c r="J22" i="2" s="1"/>
  <c r="H23" i="2"/>
  <c r="I23" i="2" s="1"/>
  <c r="J23" i="2" s="1"/>
  <c r="H24" i="2"/>
  <c r="I24" i="2" s="1"/>
  <c r="J24" i="2" s="1"/>
  <c r="H25" i="2"/>
  <c r="I25" i="2" s="1"/>
  <c r="J25" i="2" s="1"/>
  <c r="H26" i="2"/>
  <c r="I26" i="2" s="1"/>
  <c r="J26" i="2" s="1"/>
  <c r="H27" i="2"/>
  <c r="I27" i="2" s="1"/>
  <c r="J27" i="2" s="1"/>
  <c r="H28" i="2"/>
  <c r="I28" i="2" s="1"/>
  <c r="J28" i="2" s="1"/>
  <c r="H29" i="2"/>
  <c r="I29" i="2" s="1"/>
  <c r="J29" i="2" s="1"/>
  <c r="H30" i="2"/>
  <c r="I30" i="2" s="1"/>
  <c r="J30" i="2" s="1"/>
  <c r="H31" i="2"/>
  <c r="I31" i="2" s="1"/>
  <c r="J31" i="2" s="1"/>
  <c r="H32" i="2"/>
  <c r="I32" i="2" s="1"/>
  <c r="J32" i="2" s="1"/>
  <c r="H33" i="2"/>
  <c r="I33" i="2" s="1"/>
  <c r="J33" i="2" s="1"/>
  <c r="H34" i="2"/>
  <c r="I34" i="2" s="1"/>
  <c r="J34" i="2" s="1"/>
  <c r="H35" i="2"/>
  <c r="I35" i="2" s="1"/>
  <c r="J35" i="2" s="1"/>
  <c r="H36" i="2"/>
  <c r="I36" i="2" s="1"/>
  <c r="J36" i="2" s="1"/>
  <c r="H5" i="3"/>
  <c r="I5" i="3" s="1"/>
  <c r="J5" i="3" s="1"/>
  <c r="I6" i="3"/>
  <c r="J6" i="3" s="1"/>
  <c r="H6" i="3"/>
  <c r="H7" i="3"/>
  <c r="I7" i="3" s="1"/>
  <c r="J7" i="3" s="1"/>
  <c r="H8" i="3"/>
  <c r="I8" i="3" s="1"/>
  <c r="J8" i="3" s="1"/>
  <c r="H9" i="3"/>
  <c r="I9" i="3" s="1"/>
  <c r="J9" i="3" s="1"/>
  <c r="H10" i="3"/>
  <c r="I10" i="3" s="1"/>
  <c r="J10" i="3" s="1"/>
  <c r="H11" i="3"/>
  <c r="I11" i="3" s="1"/>
  <c r="J11" i="3" s="1"/>
  <c r="H12" i="3"/>
  <c r="I12" i="3" s="1"/>
  <c r="J12" i="3" s="1"/>
  <c r="H13" i="3"/>
  <c r="I13" i="3" s="1"/>
  <c r="J13" i="3" s="1"/>
  <c r="H14" i="3"/>
  <c r="I14" i="3" s="1"/>
  <c r="J14" i="3" s="1"/>
  <c r="H15" i="3"/>
  <c r="I15" i="3" s="1"/>
  <c r="J15" i="3" s="1"/>
  <c r="H16" i="3"/>
  <c r="I16" i="3" s="1"/>
  <c r="J16" i="3" s="1"/>
  <c r="H17" i="3"/>
  <c r="I17" i="3" s="1"/>
  <c r="J17" i="3" s="1"/>
  <c r="H18" i="3"/>
  <c r="I18" i="3" s="1"/>
  <c r="J18" i="3" s="1"/>
  <c r="H19" i="3"/>
  <c r="I19" i="3" s="1"/>
  <c r="J19" i="3" s="1"/>
  <c r="H20" i="3"/>
  <c r="I20" i="3" s="1"/>
  <c r="J20" i="3" s="1"/>
  <c r="H21" i="3"/>
  <c r="I21" i="3" s="1"/>
  <c r="J21" i="3" s="1"/>
  <c r="H22" i="3"/>
  <c r="I22" i="3" s="1"/>
  <c r="J22" i="3" s="1"/>
  <c r="H23" i="3"/>
  <c r="I23" i="3" s="1"/>
  <c r="J23" i="3" s="1"/>
  <c r="H24" i="3"/>
  <c r="I24" i="3" s="1"/>
  <c r="J24" i="3" s="1"/>
  <c r="H25" i="3"/>
  <c r="I25" i="3" s="1"/>
  <c r="J25" i="3" s="1"/>
  <c r="H26" i="3"/>
  <c r="I26" i="3" s="1"/>
  <c r="J26" i="3" s="1"/>
  <c r="H27" i="3"/>
  <c r="I27" i="3" s="1"/>
  <c r="J27" i="3" s="1"/>
  <c r="H28" i="3"/>
  <c r="I28" i="3" s="1"/>
  <c r="J28" i="3" s="1"/>
  <c r="H29" i="3"/>
  <c r="I29" i="3" s="1"/>
  <c r="J29" i="3" s="1"/>
  <c r="H30" i="3"/>
  <c r="I30" i="3" s="1"/>
  <c r="J30" i="3" s="1"/>
  <c r="H31" i="3"/>
  <c r="I31" i="3" s="1"/>
  <c r="J31" i="3" s="1"/>
  <c r="H32" i="3"/>
  <c r="I32" i="3" s="1"/>
  <c r="J32" i="3" s="1"/>
  <c r="H33" i="3"/>
  <c r="I33" i="3" s="1"/>
  <c r="J33" i="3" s="1"/>
  <c r="H34" i="3"/>
  <c r="I34" i="3" s="1"/>
  <c r="J34" i="3" s="1"/>
  <c r="H35" i="3"/>
  <c r="I35" i="3" s="1"/>
  <c r="J35" i="3" s="1"/>
  <c r="H36" i="3"/>
  <c r="I36" i="3" s="1"/>
  <c r="J36" i="3" s="1"/>
</calcChain>
</file>

<file path=xl/sharedStrings.xml><?xml version="1.0" encoding="utf-8"?>
<sst xmlns="http://schemas.openxmlformats.org/spreadsheetml/2006/main" count="33" uniqueCount="13">
  <si>
    <t>ANALIZA SYSTEMU OBSŁUGI - ZADANIE 5 (r = 2)</t>
  </si>
  <si>
    <t>Nr studenta</t>
  </si>
  <si>
    <t>Czas przybycia od poprz. (s)</t>
  </si>
  <si>
    <t>Czas obsługi (s)</t>
  </si>
  <si>
    <t>Czas skumulowany (min)</t>
  </si>
  <si>
    <t>Stopa przybyć λ (os/min)</t>
  </si>
  <si>
    <t>Stopa obsługi μ (os/min)</t>
  </si>
  <si>
    <t>Intensywność ruchu (ρ)</t>
  </si>
  <si>
    <t>P(n=0)</t>
  </si>
  <si>
    <t>Kolejka (Q)</t>
  </si>
  <si>
    <t>Czas oczek. (W)</t>
  </si>
  <si>
    <t>ANALIZA SYSTEMU OBSŁUGI - ZADANIE 5 (r = 3)</t>
  </si>
  <si>
    <t>ANALIZA SYSTEMU OBSŁUGI - ZADANIE 5 (r =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</si>
</sst>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rgb="FF1F497D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1. Zmiany przeciętnej stopy przybyć (</a:t>
            </a:r>
            <a:r>
              <a:rPr lang="el-GR"/>
              <a:t>λ) </a:t>
            </a:r>
            <a:r>
              <a:rPr lang="en-US"/>
              <a:t>i obsługi (</a:t>
            </a:r>
            <a:r>
              <a:rPr lang="el-GR"/>
              <a:t>μ)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'Analiza Baru (r=2)'!E4</c:f>
              <c:strCache>
                <c:ptCount val="1"/>
                <c:pt idx="0">
                  <c:v>Stopa przybyć λ (os/min)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'Analiza Baru (r=2)'!$D$5:$D$36</c:f>
              <c:numCache>
                <c:formatCode>0.00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cat>
          <c:val>
            <c:numRef>
              <c:f>'Analiza Baru (r=2)'!$E$5:$E$36</c:f>
              <c:numCache>
                <c:formatCode>0.00</c:formatCode>
                <c:ptCount val="32"/>
                <c:pt idx="0">
                  <c:v>0</c:v>
                </c:pt>
                <c:pt idx="1">
                  <c:v>20</c:v>
                </c:pt>
                <c:pt idx="2">
                  <c:v>3.9130434782608696</c:v>
                </c:pt>
                <c:pt idx="3">
                  <c:v>3.1578947368421053</c:v>
                </c:pt>
                <c:pt idx="4">
                  <c:v>2.3809523809523809</c:v>
                </c:pt>
                <c:pt idx="5">
                  <c:v>2.3076923076923075</c:v>
                </c:pt>
                <c:pt idx="6">
                  <c:v>2.3204419889502761</c:v>
                </c:pt>
                <c:pt idx="7">
                  <c:v>2.5806451612903225</c:v>
                </c:pt>
                <c:pt idx="8">
                  <c:v>2.6865671641791047</c:v>
                </c:pt>
                <c:pt idx="9">
                  <c:v>2.7777777777777777</c:v>
                </c:pt>
                <c:pt idx="10">
                  <c:v>2.9203539823008846</c:v>
                </c:pt>
                <c:pt idx="11">
                  <c:v>2.8125</c:v>
                </c:pt>
                <c:pt idx="12">
                  <c:v>2.6351351351351351</c:v>
                </c:pt>
                <c:pt idx="13">
                  <c:v>2.5</c:v>
                </c:pt>
                <c:pt idx="14">
                  <c:v>2.3936170212765959</c:v>
                </c:pt>
                <c:pt idx="15">
                  <c:v>2.2535211267605635</c:v>
                </c:pt>
                <c:pt idx="16">
                  <c:v>2.1428571428571428</c:v>
                </c:pt>
                <c:pt idx="17">
                  <c:v>2.0338983050847457</c:v>
                </c:pt>
                <c:pt idx="18">
                  <c:v>1.9791666666666667</c:v>
                </c:pt>
                <c:pt idx="19">
                  <c:v>1.9017432646592709</c:v>
                </c:pt>
                <c:pt idx="20">
                  <c:v>1.8367346938775511</c:v>
                </c:pt>
                <c:pt idx="21">
                  <c:v>1.7934782608695652</c:v>
                </c:pt>
                <c:pt idx="22">
                  <c:v>1.7669654289372598</c:v>
                </c:pt>
                <c:pt idx="23">
                  <c:v>1.7433414043583537</c:v>
                </c:pt>
                <c:pt idx="24">
                  <c:v>1.7123287671232876</c:v>
                </c:pt>
                <c:pt idx="25">
                  <c:v>1.7607223476297966</c:v>
                </c:pt>
                <c:pt idx="26">
                  <c:v>1.778265642151482</c:v>
                </c:pt>
                <c:pt idx="27">
                  <c:v>1.7948717948717947</c:v>
                </c:pt>
                <c:pt idx="28">
                  <c:v>1.7558022199798184</c:v>
                </c:pt>
                <c:pt idx="29">
                  <c:v>1.7208413001912046</c:v>
                </c:pt>
                <c:pt idx="30">
                  <c:v>1.7127071823204421</c:v>
                </c:pt>
                <c:pt idx="31">
                  <c:v>1.6901408450704225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44-447A-ADF2-262A36616CB0}"/>
            </c:ext>
          </c:extLst>
        </c:ser>
        <c:ser>
          <c:idx val="1"/>
          <c:order val="1"/>
          <c:tx>
            <c:strRef>
              <c:f>'Analiza Baru (r=2)'!F4</c:f>
              <c:strCache>
                <c:ptCount val="1"/>
                <c:pt idx="0">
                  <c:v>Stopa obsługi μ (os/min)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'Analiza Baru (r=2)'!$D$5:$D$36</c:f>
              <c:numCache>
                <c:formatCode>0.00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cat>
          <c:val>
            <c:numRef>
              <c:f>'Analiza Baru (r=2)'!$F$5:$F$36</c:f>
              <c:numCache>
                <c:formatCode>0.00</c:formatCode>
                <c:ptCount val="32"/>
                <c:pt idx="0">
                  <c:v>1.5</c:v>
                </c:pt>
                <c:pt idx="1">
                  <c:v>1.2</c:v>
                </c:pt>
                <c:pt idx="2">
                  <c:v>1.0909090909090908</c:v>
                </c:pt>
                <c:pt idx="3">
                  <c:v>1.0666666666666667</c:v>
                </c:pt>
                <c:pt idx="4">
                  <c:v>1.1320754716981132</c:v>
                </c:pt>
                <c:pt idx="5">
                  <c:v>1.125</c:v>
                </c:pt>
                <c:pt idx="6">
                  <c:v>1.0909090909090908</c:v>
                </c:pt>
                <c:pt idx="7">
                  <c:v>1.0786516853932584</c:v>
                </c:pt>
                <c:pt idx="8">
                  <c:v>1.0693069306930691</c:v>
                </c:pt>
                <c:pt idx="9">
                  <c:v>1.0434782608695652</c:v>
                </c:pt>
                <c:pt idx="10">
                  <c:v>1.03125</c:v>
                </c:pt>
                <c:pt idx="11">
                  <c:v>1.0140845070422535</c:v>
                </c:pt>
                <c:pt idx="12">
                  <c:v>1.0064516129032259</c:v>
                </c:pt>
                <c:pt idx="13">
                  <c:v>0.98823529411764699</c:v>
                </c:pt>
                <c:pt idx="14">
                  <c:v>0.98901098901098905</c:v>
                </c:pt>
                <c:pt idx="15">
                  <c:v>1</c:v>
                </c:pt>
                <c:pt idx="16">
                  <c:v>0.99512195121951219</c:v>
                </c:pt>
                <c:pt idx="17">
                  <c:v>0.99082568807339444</c:v>
                </c:pt>
                <c:pt idx="18">
                  <c:v>0.98701298701298701</c:v>
                </c:pt>
                <c:pt idx="19">
                  <c:v>0.97560975609756095</c:v>
                </c:pt>
                <c:pt idx="20">
                  <c:v>0.96923076923076923</c:v>
                </c:pt>
                <c:pt idx="21">
                  <c:v>0.97058823529411764</c:v>
                </c:pt>
                <c:pt idx="22">
                  <c:v>0.96842105263157896</c:v>
                </c:pt>
                <c:pt idx="23">
                  <c:v>0.96839273705447204</c:v>
                </c:pt>
                <c:pt idx="24">
                  <c:v>0.9696186166774402</c:v>
                </c:pt>
                <c:pt idx="25">
                  <c:v>0.98298676748582225</c:v>
                </c:pt>
                <c:pt idx="26">
                  <c:v>0.98660170523751523</c:v>
                </c:pt>
                <c:pt idx="27">
                  <c:v>0.97845078625509618</c:v>
                </c:pt>
                <c:pt idx="28">
                  <c:v>0.97917839054586386</c:v>
                </c:pt>
                <c:pt idx="29">
                  <c:v>0.99064391854705558</c:v>
                </c:pt>
                <c:pt idx="30">
                  <c:v>0.98569157392686813</c:v>
                </c:pt>
                <c:pt idx="31">
                  <c:v>0.98613251155624038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144-447A-ADF2-262A36616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Czas pomiaru (min)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os/min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2. Zmiany parametru intensywności ruchu (</a:t>
            </a:r>
            <a:r>
              <a:rPr lang="el-GR"/>
              <a:t>ρ)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'Analiza Baru (r=2)'!G4</c:f>
              <c:strCache>
                <c:ptCount val="1"/>
                <c:pt idx="0">
                  <c:v>Intensywność ruchu (ρ)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'Analiza Baru (r=2)'!$D$5:$D$36</c:f>
              <c:numCache>
                <c:formatCode>0.00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cat>
          <c:val>
            <c:numRef>
              <c:f>'Analiza Baru (r=2)'!$G$5:$G$36</c:f>
              <c:numCache>
                <c:formatCode>0.00</c:formatCode>
                <c:ptCount val="32"/>
                <c:pt idx="0">
                  <c:v>0</c:v>
                </c:pt>
                <c:pt idx="1">
                  <c:v>16.666666666666668</c:v>
                </c:pt>
                <c:pt idx="2">
                  <c:v>3.5869565217391308</c:v>
                </c:pt>
                <c:pt idx="3">
                  <c:v>2.9605263157894739</c:v>
                </c:pt>
                <c:pt idx="4">
                  <c:v>2.1031746031746033</c:v>
                </c:pt>
                <c:pt idx="5">
                  <c:v>2.0512820512820511</c:v>
                </c:pt>
                <c:pt idx="6">
                  <c:v>2.1270718232044201</c:v>
                </c:pt>
                <c:pt idx="7">
                  <c:v>2.39247311827957</c:v>
                </c:pt>
                <c:pt idx="8">
                  <c:v>2.5124378109452743</c:v>
                </c:pt>
                <c:pt idx="9">
                  <c:v>2.6620370370370372</c:v>
                </c:pt>
                <c:pt idx="10">
                  <c:v>2.8318584070796455</c:v>
                </c:pt>
                <c:pt idx="11">
                  <c:v>2.7734375</c:v>
                </c:pt>
                <c:pt idx="12">
                  <c:v>2.618243243243243</c:v>
                </c:pt>
                <c:pt idx="13">
                  <c:v>2.5297619047619051</c:v>
                </c:pt>
                <c:pt idx="14">
                  <c:v>2.4202127659574471</c:v>
                </c:pt>
                <c:pt idx="15">
                  <c:v>2.2535211267605635</c:v>
                </c:pt>
                <c:pt idx="16">
                  <c:v>2.153361344537815</c:v>
                </c:pt>
                <c:pt idx="17">
                  <c:v>2.0527306967984935</c:v>
                </c:pt>
                <c:pt idx="18">
                  <c:v>2.0052083333333335</c:v>
                </c:pt>
                <c:pt idx="19">
                  <c:v>1.9492868462757527</c:v>
                </c:pt>
                <c:pt idx="20">
                  <c:v>1.8950437317784257</c:v>
                </c:pt>
                <c:pt idx="21">
                  <c:v>1.8478260869565217</c:v>
                </c:pt>
                <c:pt idx="22">
                  <c:v>1.8245838668373879</c:v>
                </c:pt>
                <c:pt idx="23">
                  <c:v>1.8002421307506056</c:v>
                </c:pt>
                <c:pt idx="24">
                  <c:v>1.7659817351598173</c:v>
                </c:pt>
                <c:pt idx="25">
                  <c:v>1.7911963882618509</c:v>
                </c:pt>
                <c:pt idx="26">
                  <c:v>1.8024149286498354</c:v>
                </c:pt>
                <c:pt idx="27">
                  <c:v>1.8344017094017091</c:v>
                </c:pt>
                <c:pt idx="28">
                  <c:v>1.7931382441977801</c:v>
                </c:pt>
                <c:pt idx="29">
                  <c:v>1.7370936902485661</c:v>
                </c:pt>
                <c:pt idx="30">
                  <c:v>1.7375690607734806</c:v>
                </c:pt>
                <c:pt idx="31">
                  <c:v>1.7139084507042253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A3-4D09-BF90-D2EBE7EBA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Czas pomiaru (min)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Wartość </a:t>
                </a:r>
                <a:r>
                  <a:rPr lang="el-GR"/>
                  <a:t>ρ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3. Zmiany liczby oczekujących (Q) i czasu oczekiwania (W)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'Analiza Baru (r=2)'!I4</c:f>
              <c:strCache>
                <c:ptCount val="1"/>
                <c:pt idx="0">
                  <c:v>Kolejka (Q)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'Analiza Baru (r=2)'!$D$5:$D$36</c:f>
              <c:numCache>
                <c:formatCode>0.00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cat>
          <c:val>
            <c:numRef>
              <c:f>'Analiza Baru (r=2)'!$I$5:$I$36</c:f>
              <c:numCache>
                <c:formatCode>0.00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36.981792607977766</c:v>
                </c:pt>
                <c:pt idx="20">
                  <c:v>16.647038769884915</c:v>
                </c:pt>
                <c:pt idx="21">
                  <c:v>10.775257044601185</c:v>
                </c:pt>
                <c:pt idx="22">
                  <c:v>9.0539432787741276</c:v>
                </c:pt>
                <c:pt idx="23">
                  <c:v>7.6855968258752387</c:v>
                </c:pt>
                <c:pt idx="24">
                  <c:v>6.2492897070362625</c:v>
                </c:pt>
                <c:pt idx="25">
                  <c:v>7.2596440323910087</c:v>
                </c:pt>
                <c:pt idx="26">
                  <c:v>7.7938257693229689</c:v>
                </c:pt>
                <c:pt idx="27">
                  <c:v>9.7214238867298164</c:v>
                </c:pt>
                <c:pt idx="28">
                  <c:v>7.3478865483326725</c:v>
                </c:pt>
                <c:pt idx="29">
                  <c:v>5.3350038003907549</c:v>
                </c:pt>
                <c:pt idx="30">
                  <c:v>5.3483764015519544</c:v>
                </c:pt>
                <c:pt idx="31">
                  <c:v>4.7383445439901042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AF-475C-BBF0-24501F1EB651}"/>
            </c:ext>
          </c:extLst>
        </c:ser>
        <c:ser>
          <c:idx val="1"/>
          <c:order val="1"/>
          <c:tx>
            <c:strRef>
              <c:f>'Analiza Baru (r=2)'!J4</c:f>
              <c:strCache>
                <c:ptCount val="1"/>
                <c:pt idx="0">
                  <c:v>Czas oczek. (W)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'Analiza Baru (r=2)'!$D$5:$D$36</c:f>
              <c:numCache>
                <c:formatCode>0.00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cat>
          <c:val>
            <c:numRef>
              <c:f>'Analiza Baru (r=2)'!$J$5:$J$36</c:f>
              <c:numCache>
                <c:formatCode>0.00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19.446259279694978</c:v>
                </c:pt>
                <c:pt idx="20">
                  <c:v>9.063387774715121</c:v>
                </c:pt>
                <c:pt idx="21">
                  <c:v>6.0080221097170243</c:v>
                </c:pt>
                <c:pt idx="22">
                  <c:v>5.1240070295091265</c:v>
                </c:pt>
                <c:pt idx="23">
                  <c:v>4.4085437348423238</c:v>
                </c:pt>
                <c:pt idx="24">
                  <c:v>3.6495851889091773</c:v>
                </c:pt>
                <c:pt idx="25">
                  <c:v>4.123105520960535</c:v>
                </c:pt>
                <c:pt idx="26">
                  <c:v>4.3828242443538423</c:v>
                </c:pt>
                <c:pt idx="27">
                  <c:v>5.4162218797494699</c:v>
                </c:pt>
                <c:pt idx="28">
                  <c:v>4.1849169939067119</c:v>
                </c:pt>
                <c:pt idx="29">
                  <c:v>3.1002299862270721</c:v>
                </c:pt>
                <c:pt idx="30">
                  <c:v>3.1227617054222701</c:v>
                </c:pt>
                <c:pt idx="31">
                  <c:v>2.8035205218608117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AF-475C-BBF0-24501F1EB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Czas pomiaru (min)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osoby / minuty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1. Zmiany przeciętnej stopy przybyć (</a:t>
            </a:r>
            <a:r>
              <a:rPr lang="el-GR"/>
              <a:t>λ) </a:t>
            </a:r>
            <a:r>
              <a:rPr lang="en-US"/>
              <a:t>i obsługi (</a:t>
            </a:r>
            <a:r>
              <a:rPr lang="el-GR"/>
              <a:t>μ)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'Analiza Baru (r=3)'!E4</c:f>
              <c:strCache>
                <c:ptCount val="1"/>
                <c:pt idx="0">
                  <c:v>Stopa przybyć λ (os/min)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'Analiza Baru (r=3)'!$D$5:$D$36</c:f>
              <c:numCache>
                <c:formatCode>0.00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cat>
          <c:val>
            <c:numRef>
              <c:f>'Analiza Baru (r=3)'!$E$5:$E$36</c:f>
              <c:numCache>
                <c:formatCode>0.00</c:formatCode>
                <c:ptCount val="32"/>
                <c:pt idx="0">
                  <c:v>0</c:v>
                </c:pt>
                <c:pt idx="1">
                  <c:v>20</c:v>
                </c:pt>
                <c:pt idx="2">
                  <c:v>3.9130434782608696</c:v>
                </c:pt>
                <c:pt idx="3">
                  <c:v>3.1578947368421053</c:v>
                </c:pt>
                <c:pt idx="4">
                  <c:v>2.3809523809523809</c:v>
                </c:pt>
                <c:pt idx="5">
                  <c:v>2.3076923076923075</c:v>
                </c:pt>
                <c:pt idx="6">
                  <c:v>2.3204419889502761</c:v>
                </c:pt>
                <c:pt idx="7">
                  <c:v>2.5806451612903225</c:v>
                </c:pt>
                <c:pt idx="8">
                  <c:v>2.6865671641791047</c:v>
                </c:pt>
                <c:pt idx="9">
                  <c:v>2.7777777777777777</c:v>
                </c:pt>
                <c:pt idx="10">
                  <c:v>2.9203539823008846</c:v>
                </c:pt>
                <c:pt idx="11">
                  <c:v>2.8125</c:v>
                </c:pt>
                <c:pt idx="12">
                  <c:v>2.6351351351351351</c:v>
                </c:pt>
                <c:pt idx="13">
                  <c:v>2.5</c:v>
                </c:pt>
                <c:pt idx="14">
                  <c:v>2.3936170212765959</c:v>
                </c:pt>
                <c:pt idx="15">
                  <c:v>2.2535211267605635</c:v>
                </c:pt>
                <c:pt idx="16">
                  <c:v>2.1428571428571428</c:v>
                </c:pt>
                <c:pt idx="17">
                  <c:v>2.0338983050847457</c:v>
                </c:pt>
                <c:pt idx="18">
                  <c:v>1.9791666666666667</c:v>
                </c:pt>
                <c:pt idx="19">
                  <c:v>1.9017432646592709</c:v>
                </c:pt>
                <c:pt idx="20">
                  <c:v>1.8367346938775511</c:v>
                </c:pt>
                <c:pt idx="21">
                  <c:v>1.7934782608695652</c:v>
                </c:pt>
                <c:pt idx="22">
                  <c:v>1.7669654289372598</c:v>
                </c:pt>
                <c:pt idx="23">
                  <c:v>1.7433414043583537</c:v>
                </c:pt>
                <c:pt idx="24">
                  <c:v>1.7123287671232876</c:v>
                </c:pt>
                <c:pt idx="25">
                  <c:v>1.7607223476297966</c:v>
                </c:pt>
                <c:pt idx="26">
                  <c:v>1.778265642151482</c:v>
                </c:pt>
                <c:pt idx="27">
                  <c:v>1.7948717948717947</c:v>
                </c:pt>
                <c:pt idx="28">
                  <c:v>1.7558022199798184</c:v>
                </c:pt>
                <c:pt idx="29">
                  <c:v>1.7208413001912046</c:v>
                </c:pt>
                <c:pt idx="30">
                  <c:v>1.7127071823204421</c:v>
                </c:pt>
                <c:pt idx="31">
                  <c:v>1.6901408450704225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3DE-42D9-A463-55D1FD1CA36F}"/>
            </c:ext>
          </c:extLst>
        </c:ser>
        <c:ser>
          <c:idx val="1"/>
          <c:order val="1"/>
          <c:tx>
            <c:strRef>
              <c:f>'Analiza Baru (r=3)'!F4</c:f>
              <c:strCache>
                <c:ptCount val="1"/>
                <c:pt idx="0">
                  <c:v>Stopa obsługi μ (os/min)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'Analiza Baru (r=3)'!$D$5:$D$36</c:f>
              <c:numCache>
                <c:formatCode>0.00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cat>
          <c:val>
            <c:numRef>
              <c:f>'Analiza Baru (r=3)'!$F$5:$F$36</c:f>
              <c:numCache>
                <c:formatCode>0.00</c:formatCode>
                <c:ptCount val="32"/>
                <c:pt idx="0">
                  <c:v>1.5</c:v>
                </c:pt>
                <c:pt idx="1">
                  <c:v>1.2</c:v>
                </c:pt>
                <c:pt idx="2">
                  <c:v>1.0909090909090908</c:v>
                </c:pt>
                <c:pt idx="3">
                  <c:v>1.0666666666666667</c:v>
                </c:pt>
                <c:pt idx="4">
                  <c:v>1.1320754716981132</c:v>
                </c:pt>
                <c:pt idx="5">
                  <c:v>1.125</c:v>
                </c:pt>
                <c:pt idx="6">
                  <c:v>1.0909090909090908</c:v>
                </c:pt>
                <c:pt idx="7">
                  <c:v>1.0786516853932584</c:v>
                </c:pt>
                <c:pt idx="8">
                  <c:v>1.0693069306930691</c:v>
                </c:pt>
                <c:pt idx="9">
                  <c:v>1.0434782608695652</c:v>
                </c:pt>
                <c:pt idx="10">
                  <c:v>1.03125</c:v>
                </c:pt>
                <c:pt idx="11">
                  <c:v>1.0140845070422535</c:v>
                </c:pt>
                <c:pt idx="12">
                  <c:v>1.0064516129032259</c:v>
                </c:pt>
                <c:pt idx="13">
                  <c:v>0.98823529411764699</c:v>
                </c:pt>
                <c:pt idx="14">
                  <c:v>0.98901098901098905</c:v>
                </c:pt>
                <c:pt idx="15">
                  <c:v>1</c:v>
                </c:pt>
                <c:pt idx="16">
                  <c:v>0.99512195121951219</c:v>
                </c:pt>
                <c:pt idx="17">
                  <c:v>0.99082568807339444</c:v>
                </c:pt>
                <c:pt idx="18">
                  <c:v>0.98701298701298701</c:v>
                </c:pt>
                <c:pt idx="19">
                  <c:v>0.97560975609756095</c:v>
                </c:pt>
                <c:pt idx="20">
                  <c:v>0.96923076923076923</c:v>
                </c:pt>
                <c:pt idx="21">
                  <c:v>0.97058823529411764</c:v>
                </c:pt>
                <c:pt idx="22">
                  <c:v>0.96842105263157896</c:v>
                </c:pt>
                <c:pt idx="23">
                  <c:v>0.96839273705447204</c:v>
                </c:pt>
                <c:pt idx="24">
                  <c:v>0.9696186166774402</c:v>
                </c:pt>
                <c:pt idx="25">
                  <c:v>0.98298676748582225</c:v>
                </c:pt>
                <c:pt idx="26">
                  <c:v>0.98660170523751523</c:v>
                </c:pt>
                <c:pt idx="27">
                  <c:v>0.97845078625509618</c:v>
                </c:pt>
                <c:pt idx="28">
                  <c:v>0.97917839054586386</c:v>
                </c:pt>
                <c:pt idx="29">
                  <c:v>0.99064391854705558</c:v>
                </c:pt>
                <c:pt idx="30">
                  <c:v>0.98569157392686813</c:v>
                </c:pt>
                <c:pt idx="31">
                  <c:v>0.98613251155624038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3DE-42D9-A463-55D1FD1CA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Czas pomiaru (min)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os/min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2. Zmiany parametru intensywności ruchu (</a:t>
            </a:r>
            <a:r>
              <a:rPr lang="el-GR"/>
              <a:t>ρ)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'Analiza Baru (r=3)'!G4</c:f>
              <c:strCache>
                <c:ptCount val="1"/>
                <c:pt idx="0">
                  <c:v>Intensywność ruchu (ρ)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'Analiza Baru (r=3)'!$D$5:$D$36</c:f>
              <c:numCache>
                <c:formatCode>0.00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cat>
          <c:val>
            <c:numRef>
              <c:f>'Analiza Baru (r=3)'!$G$5:$G$36</c:f>
              <c:numCache>
                <c:formatCode>0.00</c:formatCode>
                <c:ptCount val="32"/>
                <c:pt idx="0">
                  <c:v>0</c:v>
                </c:pt>
                <c:pt idx="1">
                  <c:v>16.666666666666668</c:v>
                </c:pt>
                <c:pt idx="2">
                  <c:v>3.5869565217391308</c:v>
                </c:pt>
                <c:pt idx="3">
                  <c:v>2.9605263157894739</c:v>
                </c:pt>
                <c:pt idx="4">
                  <c:v>2.1031746031746033</c:v>
                </c:pt>
                <c:pt idx="5">
                  <c:v>2.0512820512820511</c:v>
                </c:pt>
                <c:pt idx="6">
                  <c:v>2.1270718232044201</c:v>
                </c:pt>
                <c:pt idx="7">
                  <c:v>2.39247311827957</c:v>
                </c:pt>
                <c:pt idx="8">
                  <c:v>2.5124378109452743</c:v>
                </c:pt>
                <c:pt idx="9">
                  <c:v>2.6620370370370372</c:v>
                </c:pt>
                <c:pt idx="10">
                  <c:v>2.8318584070796455</c:v>
                </c:pt>
                <c:pt idx="11">
                  <c:v>2.7734375</c:v>
                </c:pt>
                <c:pt idx="12">
                  <c:v>2.618243243243243</c:v>
                </c:pt>
                <c:pt idx="13">
                  <c:v>2.5297619047619051</c:v>
                </c:pt>
                <c:pt idx="14">
                  <c:v>2.4202127659574471</c:v>
                </c:pt>
                <c:pt idx="15">
                  <c:v>2.2535211267605635</c:v>
                </c:pt>
                <c:pt idx="16">
                  <c:v>2.153361344537815</c:v>
                </c:pt>
                <c:pt idx="17">
                  <c:v>2.0527306967984935</c:v>
                </c:pt>
                <c:pt idx="18">
                  <c:v>2.0052083333333335</c:v>
                </c:pt>
                <c:pt idx="19">
                  <c:v>1.9492868462757527</c:v>
                </c:pt>
                <c:pt idx="20">
                  <c:v>1.8950437317784257</c:v>
                </c:pt>
                <c:pt idx="21">
                  <c:v>1.8478260869565217</c:v>
                </c:pt>
                <c:pt idx="22">
                  <c:v>1.8245838668373879</c:v>
                </c:pt>
                <c:pt idx="23">
                  <c:v>1.8002421307506056</c:v>
                </c:pt>
                <c:pt idx="24">
                  <c:v>1.7659817351598173</c:v>
                </c:pt>
                <c:pt idx="25">
                  <c:v>1.7911963882618509</c:v>
                </c:pt>
                <c:pt idx="26">
                  <c:v>1.8024149286498354</c:v>
                </c:pt>
                <c:pt idx="27">
                  <c:v>1.8344017094017091</c:v>
                </c:pt>
                <c:pt idx="28">
                  <c:v>1.7931382441977801</c:v>
                </c:pt>
                <c:pt idx="29">
                  <c:v>1.7370936902485661</c:v>
                </c:pt>
                <c:pt idx="30">
                  <c:v>1.7375690607734806</c:v>
                </c:pt>
                <c:pt idx="31">
                  <c:v>1.7139084507042253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72-421A-A231-3E3597BC6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Czas pomiaru (min)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Wartość </a:t>
                </a:r>
                <a:r>
                  <a:rPr lang="el-GR"/>
                  <a:t>ρ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3. Zmiany liczby oczekujących (Q) i czasu oczekiwania (W)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'Analiza Baru (r=3)'!I4</c:f>
              <c:strCache>
                <c:ptCount val="1"/>
                <c:pt idx="0">
                  <c:v>Kolejka (Q)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'Analiza Baru (r=3)'!$D$5:$D$36</c:f>
              <c:numCache>
                <c:formatCode>0.00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cat>
          <c:val>
            <c:numRef>
              <c:f>'Analiza Baru (r=3)'!$I$5:$I$36</c:f>
              <c:numCache>
                <c:formatCode>0.00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73.14338373164685</c:v>
                </c:pt>
                <c:pt idx="4">
                  <c:v>1.1582538989637814</c:v>
                </c:pt>
                <c:pt idx="5">
                  <c:v>1.0135438257983418</c:v>
                </c:pt>
                <c:pt idx="6">
                  <c:v>1.2321092161636757</c:v>
                </c:pt>
                <c:pt idx="7">
                  <c:v>2.5326150729528774</c:v>
                </c:pt>
                <c:pt idx="8">
                  <c:v>3.6545909668484717</c:v>
                </c:pt>
                <c:pt idx="9">
                  <c:v>6.2604498855617319</c:v>
                </c:pt>
                <c:pt idx="10">
                  <c:v>15.089918357125624</c:v>
                </c:pt>
                <c:pt idx="11">
                  <c:v>10.536205171332192</c:v>
                </c:pt>
                <c:pt idx="12">
                  <c:v>5.2768232767627437</c:v>
                </c:pt>
                <c:pt idx="13">
                  <c:v>3.867734380386834</c:v>
                </c:pt>
                <c:pt idx="14">
                  <c:v>2.7474797759263723</c:v>
                </c:pt>
                <c:pt idx="15">
                  <c:v>1.7194766873872327</c:v>
                </c:pt>
                <c:pt idx="16">
                  <c:v>1.31925747400756</c:v>
                </c:pt>
                <c:pt idx="17">
                  <c:v>1.0173157310570173</c:v>
                </c:pt>
                <c:pt idx="18">
                  <c:v>0.9008003723944259</c:v>
                </c:pt>
                <c:pt idx="19">
                  <c:v>0.78087855849687282</c:v>
                </c:pt>
                <c:pt idx="20">
                  <c:v>0.67971525914405617</c:v>
                </c:pt>
                <c:pt idx="21">
                  <c:v>0.60209918097267556</c:v>
                </c:pt>
                <c:pt idx="22">
                  <c:v>0.56707204630367014</c:v>
                </c:pt>
                <c:pt idx="23">
                  <c:v>0.53245100772389953</c:v>
                </c:pt>
                <c:pt idx="24">
                  <c:v>0.48705101005807533</c:v>
                </c:pt>
                <c:pt idx="25">
                  <c:v>0.52009693931105949</c:v>
                </c:pt>
                <c:pt idx="26">
                  <c:v>0.53545896079275812</c:v>
                </c:pt>
                <c:pt idx="27">
                  <c:v>0.58162605726739181</c:v>
                </c:pt>
                <c:pt idx="28">
                  <c:v>0.52272626564101177</c:v>
                </c:pt>
                <c:pt idx="29">
                  <c:v>0.45157435436448007</c:v>
                </c:pt>
                <c:pt idx="30">
                  <c:v>0.4521384690580233</c:v>
                </c:pt>
                <c:pt idx="31">
                  <c:v>0.42482568984094987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76B-4E4E-ACFC-F4A4E957464F}"/>
            </c:ext>
          </c:extLst>
        </c:ser>
        <c:ser>
          <c:idx val="1"/>
          <c:order val="1"/>
          <c:tx>
            <c:strRef>
              <c:f>'Analiza Baru (r=3)'!J4</c:f>
              <c:strCache>
                <c:ptCount val="1"/>
                <c:pt idx="0">
                  <c:v>Czas oczek. (W)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'Analiza Baru (r=3)'!$D$5:$D$36</c:f>
              <c:numCache>
                <c:formatCode>0.00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cat>
          <c:val>
            <c:numRef>
              <c:f>'Analiza Baru (r=3)'!$J$5:$J$36</c:f>
              <c:numCache>
                <c:formatCode>0.00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23.162071515021502</c:v>
                </c:pt>
                <c:pt idx="4">
                  <c:v>0.4864666375647882</c:v>
                </c:pt>
                <c:pt idx="5">
                  <c:v>0.43920232451261482</c:v>
                </c:pt>
                <c:pt idx="6">
                  <c:v>0.53098040029910787</c:v>
                </c:pt>
                <c:pt idx="7">
                  <c:v>0.98138834076923998</c:v>
                </c:pt>
                <c:pt idx="8">
                  <c:v>1.3603199709935978</c:v>
                </c:pt>
                <c:pt idx="9">
                  <c:v>2.2537619588022237</c:v>
                </c:pt>
                <c:pt idx="10">
                  <c:v>5.1671538616824115</c:v>
                </c:pt>
                <c:pt idx="11">
                  <c:v>3.7462062831403347</c:v>
                </c:pt>
                <c:pt idx="12">
                  <c:v>2.0024867819509899</c:v>
                </c:pt>
                <c:pt idx="13">
                  <c:v>1.5470937521547337</c:v>
                </c:pt>
                <c:pt idx="14">
                  <c:v>1.1478359952759065</c:v>
                </c:pt>
                <c:pt idx="15">
                  <c:v>0.76301778002808451</c:v>
                </c:pt>
                <c:pt idx="16">
                  <c:v>0.61565348787019469</c:v>
                </c:pt>
                <c:pt idx="17">
                  <c:v>0.50018023443636683</c:v>
                </c:pt>
                <c:pt idx="18">
                  <c:v>0.45514124078876256</c:v>
                </c:pt>
                <c:pt idx="19">
                  <c:v>0.41061197534293897</c:v>
                </c:pt>
                <c:pt idx="20">
                  <c:v>0.37006719664509724</c:v>
                </c:pt>
                <c:pt idx="21">
                  <c:v>0.33571590696658277</c:v>
                </c:pt>
                <c:pt idx="22">
                  <c:v>0.32092990446606262</c:v>
                </c:pt>
                <c:pt idx="23">
                  <c:v>0.30541981415273678</c:v>
                </c:pt>
                <c:pt idx="24">
                  <c:v>0.28443778987391599</c:v>
                </c:pt>
                <c:pt idx="25">
                  <c:v>0.29538838989076843</c:v>
                </c:pt>
                <c:pt idx="26">
                  <c:v>0.30111303289024854</c:v>
                </c:pt>
                <c:pt idx="27">
                  <c:v>0.32404880333468977</c:v>
                </c:pt>
                <c:pt idx="28">
                  <c:v>0.29771363750013946</c:v>
                </c:pt>
                <c:pt idx="29">
                  <c:v>0.26241487481402564</c:v>
                </c:pt>
                <c:pt idx="30">
                  <c:v>0.2639905254822652</c:v>
                </c:pt>
                <c:pt idx="31">
                  <c:v>0.25135519982256199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76B-4E4E-ACFC-F4A4E957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Czas pomiaru (min)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osoby / minuty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1. Zmiany przeciętnej stopy przybyć (</a:t>
            </a:r>
            <a:r>
              <a:rPr lang="el-GR"/>
              <a:t>λ) </a:t>
            </a:r>
            <a:r>
              <a:rPr lang="en-US"/>
              <a:t>i obsługi (</a:t>
            </a:r>
            <a:r>
              <a:rPr lang="el-GR"/>
              <a:t>μ)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'Analiza Baru (r=4)'!E4</c:f>
              <c:strCache>
                <c:ptCount val="1"/>
                <c:pt idx="0">
                  <c:v>Stopa przybyć λ (os/min)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'Analiza Baru (r=4)'!$D$5:$D$36</c:f>
              <c:numCache>
                <c:formatCode>0.00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cat>
          <c:val>
            <c:numRef>
              <c:f>'Analiza Baru (r=4)'!$E$5:$E$36</c:f>
              <c:numCache>
                <c:formatCode>0.00</c:formatCode>
                <c:ptCount val="32"/>
                <c:pt idx="0">
                  <c:v>0</c:v>
                </c:pt>
                <c:pt idx="1">
                  <c:v>20</c:v>
                </c:pt>
                <c:pt idx="2">
                  <c:v>3.9130434782608696</c:v>
                </c:pt>
                <c:pt idx="3">
                  <c:v>3.1578947368421053</c:v>
                </c:pt>
                <c:pt idx="4">
                  <c:v>2.3809523809523809</c:v>
                </c:pt>
                <c:pt idx="5">
                  <c:v>2.3076923076923075</c:v>
                </c:pt>
                <c:pt idx="6">
                  <c:v>2.3204419889502761</c:v>
                </c:pt>
                <c:pt idx="7">
                  <c:v>2.5806451612903225</c:v>
                </c:pt>
                <c:pt idx="8">
                  <c:v>2.6865671641791047</c:v>
                </c:pt>
                <c:pt idx="9">
                  <c:v>2.7777777777777777</c:v>
                </c:pt>
                <c:pt idx="10">
                  <c:v>2.9203539823008846</c:v>
                </c:pt>
                <c:pt idx="11">
                  <c:v>2.8125</c:v>
                </c:pt>
                <c:pt idx="12">
                  <c:v>2.6351351351351351</c:v>
                </c:pt>
                <c:pt idx="13">
                  <c:v>2.5</c:v>
                </c:pt>
                <c:pt idx="14">
                  <c:v>2.3936170212765959</c:v>
                </c:pt>
                <c:pt idx="15">
                  <c:v>2.2535211267605635</c:v>
                </c:pt>
                <c:pt idx="16">
                  <c:v>2.1428571428571428</c:v>
                </c:pt>
                <c:pt idx="17">
                  <c:v>2.0338983050847457</c:v>
                </c:pt>
                <c:pt idx="18">
                  <c:v>1.9791666666666667</c:v>
                </c:pt>
                <c:pt idx="19">
                  <c:v>1.9017432646592709</c:v>
                </c:pt>
                <c:pt idx="20">
                  <c:v>1.8367346938775511</c:v>
                </c:pt>
                <c:pt idx="21">
                  <c:v>1.7934782608695652</c:v>
                </c:pt>
                <c:pt idx="22">
                  <c:v>1.7669654289372598</c:v>
                </c:pt>
                <c:pt idx="23">
                  <c:v>1.7433414043583537</c:v>
                </c:pt>
                <c:pt idx="24">
                  <c:v>1.7123287671232876</c:v>
                </c:pt>
                <c:pt idx="25">
                  <c:v>1.7607223476297966</c:v>
                </c:pt>
                <c:pt idx="26">
                  <c:v>1.778265642151482</c:v>
                </c:pt>
                <c:pt idx="27">
                  <c:v>1.7948717948717947</c:v>
                </c:pt>
                <c:pt idx="28">
                  <c:v>1.7558022199798184</c:v>
                </c:pt>
                <c:pt idx="29">
                  <c:v>1.7208413001912046</c:v>
                </c:pt>
                <c:pt idx="30">
                  <c:v>1.7127071823204421</c:v>
                </c:pt>
                <c:pt idx="31">
                  <c:v>1.6901408450704225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34-4BAA-908E-BEA7F7A186AB}"/>
            </c:ext>
          </c:extLst>
        </c:ser>
        <c:ser>
          <c:idx val="1"/>
          <c:order val="1"/>
          <c:tx>
            <c:strRef>
              <c:f>'Analiza Baru (r=4)'!F4</c:f>
              <c:strCache>
                <c:ptCount val="1"/>
                <c:pt idx="0">
                  <c:v>Stopa obsługi μ (os/min)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'Analiza Baru (r=4)'!$D$5:$D$36</c:f>
              <c:numCache>
                <c:formatCode>0.00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cat>
          <c:val>
            <c:numRef>
              <c:f>'Analiza Baru (r=4)'!$F$5:$F$36</c:f>
              <c:numCache>
                <c:formatCode>0.00</c:formatCode>
                <c:ptCount val="32"/>
                <c:pt idx="0">
                  <c:v>1.5</c:v>
                </c:pt>
                <c:pt idx="1">
                  <c:v>1.2</c:v>
                </c:pt>
                <c:pt idx="2">
                  <c:v>1.0909090909090908</c:v>
                </c:pt>
                <c:pt idx="3">
                  <c:v>1.0666666666666667</c:v>
                </c:pt>
                <c:pt idx="4">
                  <c:v>1.1320754716981132</c:v>
                </c:pt>
                <c:pt idx="5">
                  <c:v>1.125</c:v>
                </c:pt>
                <c:pt idx="6">
                  <c:v>1.0909090909090908</c:v>
                </c:pt>
                <c:pt idx="7">
                  <c:v>1.0786516853932584</c:v>
                </c:pt>
                <c:pt idx="8">
                  <c:v>1.0693069306930691</c:v>
                </c:pt>
                <c:pt idx="9">
                  <c:v>1.0434782608695652</c:v>
                </c:pt>
                <c:pt idx="10">
                  <c:v>1.03125</c:v>
                </c:pt>
                <c:pt idx="11">
                  <c:v>1.0140845070422535</c:v>
                </c:pt>
                <c:pt idx="12">
                  <c:v>1.0064516129032259</c:v>
                </c:pt>
                <c:pt idx="13">
                  <c:v>0.98823529411764699</c:v>
                </c:pt>
                <c:pt idx="14">
                  <c:v>0.98901098901098905</c:v>
                </c:pt>
                <c:pt idx="15">
                  <c:v>1</c:v>
                </c:pt>
                <c:pt idx="16">
                  <c:v>0.99512195121951219</c:v>
                </c:pt>
                <c:pt idx="17">
                  <c:v>0.99082568807339444</c:v>
                </c:pt>
                <c:pt idx="18">
                  <c:v>0.98701298701298701</c:v>
                </c:pt>
                <c:pt idx="19">
                  <c:v>0.97560975609756095</c:v>
                </c:pt>
                <c:pt idx="20">
                  <c:v>0.96923076923076923</c:v>
                </c:pt>
                <c:pt idx="21">
                  <c:v>0.97058823529411764</c:v>
                </c:pt>
                <c:pt idx="22">
                  <c:v>0.96842105263157896</c:v>
                </c:pt>
                <c:pt idx="23">
                  <c:v>0.96839273705447204</c:v>
                </c:pt>
                <c:pt idx="24">
                  <c:v>0.9696186166774402</c:v>
                </c:pt>
                <c:pt idx="25">
                  <c:v>0.98298676748582225</c:v>
                </c:pt>
                <c:pt idx="26">
                  <c:v>0.98660170523751523</c:v>
                </c:pt>
                <c:pt idx="27">
                  <c:v>0.97845078625509618</c:v>
                </c:pt>
                <c:pt idx="28">
                  <c:v>0.97917839054586386</c:v>
                </c:pt>
                <c:pt idx="29">
                  <c:v>0.99064391854705558</c:v>
                </c:pt>
                <c:pt idx="30">
                  <c:v>0.98569157392686813</c:v>
                </c:pt>
                <c:pt idx="31">
                  <c:v>0.98613251155624038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34-4BAA-908E-BEA7F7A18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Czas pomiaru (min)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os/min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2. Zmiany parametru intensywności ruchu (</a:t>
            </a:r>
            <a:r>
              <a:rPr lang="el-GR"/>
              <a:t>ρ)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'Analiza Baru (r=4)'!G4</c:f>
              <c:strCache>
                <c:ptCount val="1"/>
                <c:pt idx="0">
                  <c:v>Intensywność ruchu (ρ)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'Analiza Baru (r=4)'!$D$5:$D$36</c:f>
              <c:numCache>
                <c:formatCode>0.00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cat>
          <c:val>
            <c:numRef>
              <c:f>'Analiza Baru (r=4)'!$G$5:$G$36</c:f>
              <c:numCache>
                <c:formatCode>0.00</c:formatCode>
                <c:ptCount val="32"/>
                <c:pt idx="0">
                  <c:v>0</c:v>
                </c:pt>
                <c:pt idx="1">
                  <c:v>16.666666666666668</c:v>
                </c:pt>
                <c:pt idx="2">
                  <c:v>3.5869565217391308</c:v>
                </c:pt>
                <c:pt idx="3">
                  <c:v>2.9605263157894739</c:v>
                </c:pt>
                <c:pt idx="4">
                  <c:v>2.1031746031746033</c:v>
                </c:pt>
                <c:pt idx="5">
                  <c:v>2.0512820512820511</c:v>
                </c:pt>
                <c:pt idx="6">
                  <c:v>2.1270718232044201</c:v>
                </c:pt>
                <c:pt idx="7">
                  <c:v>2.39247311827957</c:v>
                </c:pt>
                <c:pt idx="8">
                  <c:v>2.5124378109452743</c:v>
                </c:pt>
                <c:pt idx="9">
                  <c:v>2.6620370370370372</c:v>
                </c:pt>
                <c:pt idx="10">
                  <c:v>2.8318584070796455</c:v>
                </c:pt>
                <c:pt idx="11">
                  <c:v>2.7734375</c:v>
                </c:pt>
                <c:pt idx="12">
                  <c:v>2.618243243243243</c:v>
                </c:pt>
                <c:pt idx="13">
                  <c:v>2.5297619047619051</c:v>
                </c:pt>
                <c:pt idx="14">
                  <c:v>2.4202127659574471</c:v>
                </c:pt>
                <c:pt idx="15">
                  <c:v>2.2535211267605635</c:v>
                </c:pt>
                <c:pt idx="16">
                  <c:v>2.153361344537815</c:v>
                </c:pt>
                <c:pt idx="17">
                  <c:v>2.0527306967984935</c:v>
                </c:pt>
                <c:pt idx="18">
                  <c:v>2.0052083333333335</c:v>
                </c:pt>
                <c:pt idx="19">
                  <c:v>1.9492868462757527</c:v>
                </c:pt>
                <c:pt idx="20">
                  <c:v>1.8950437317784257</c:v>
                </c:pt>
                <c:pt idx="21">
                  <c:v>1.8478260869565217</c:v>
                </c:pt>
                <c:pt idx="22">
                  <c:v>1.8245838668373879</c:v>
                </c:pt>
                <c:pt idx="23">
                  <c:v>1.8002421307506056</c:v>
                </c:pt>
                <c:pt idx="24">
                  <c:v>1.7659817351598173</c:v>
                </c:pt>
                <c:pt idx="25">
                  <c:v>1.7911963882618509</c:v>
                </c:pt>
                <c:pt idx="26">
                  <c:v>1.8024149286498354</c:v>
                </c:pt>
                <c:pt idx="27">
                  <c:v>1.8344017094017091</c:v>
                </c:pt>
                <c:pt idx="28">
                  <c:v>1.7931382441977801</c:v>
                </c:pt>
                <c:pt idx="29">
                  <c:v>1.7370936902485661</c:v>
                </c:pt>
                <c:pt idx="30">
                  <c:v>1.7375690607734806</c:v>
                </c:pt>
                <c:pt idx="31">
                  <c:v>1.7139084507042253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68-4216-B641-BBC3313E9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Czas pomiaru (min)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Wartość </a:t>
                </a:r>
                <a:r>
                  <a:rPr lang="el-GR"/>
                  <a:t>ρ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3. Zmiany liczby oczekujących (Q) i czasu oczekiwania (W)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'Analiza Baru (r=4)'!I4</c:f>
              <c:strCache>
                <c:ptCount val="1"/>
                <c:pt idx="0">
                  <c:v>Kolejka (Q)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'Analiza Baru (r=4)'!$D$5:$D$36</c:f>
              <c:numCache>
                <c:formatCode>0.00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cat>
          <c:val>
            <c:numRef>
              <c:f>'Analiza Baru (r=4)'!$I$5:$I$36</c:f>
              <c:numCache>
                <c:formatCode>0.00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6.7838500747686199</c:v>
                </c:pt>
                <c:pt idx="3">
                  <c:v>1.4040784292454245</c:v>
                </c:pt>
                <c:pt idx="4">
                  <c:v>0.222051411592781</c:v>
                </c:pt>
                <c:pt idx="5">
                  <c:v>0.19659177554812873</c:v>
                </c:pt>
                <c:pt idx="6">
                  <c:v>0.23469369459119477</c:v>
                </c:pt>
                <c:pt idx="7">
                  <c:v>0.423635764033165</c:v>
                </c:pt>
                <c:pt idx="8">
                  <c:v>0.54732729185807016</c:v>
                </c:pt>
                <c:pt idx="9">
                  <c:v>0.74954422169200352</c:v>
                </c:pt>
                <c:pt idx="10">
                  <c:v>1.0693136371530032</c:v>
                </c:pt>
                <c:pt idx="11">
                  <c:v>0.94608910884460329</c:v>
                </c:pt>
                <c:pt idx="12">
                  <c:v>0.68388051004406158</c:v>
                </c:pt>
                <c:pt idx="13">
                  <c:v>0.56774881579254133</c:v>
                </c:pt>
                <c:pt idx="14">
                  <c:v>0.4496884271567041</c:v>
                </c:pt>
                <c:pt idx="15">
                  <c:v>0.31252598105291046</c:v>
                </c:pt>
                <c:pt idx="16">
                  <c:v>0.24931339258634466</c:v>
                </c:pt>
                <c:pt idx="17">
                  <c:v>0.19726713994837522</c:v>
                </c:pt>
                <c:pt idx="18">
                  <c:v>0.1761103813432171</c:v>
                </c:pt>
                <c:pt idx="19">
                  <c:v>0.15369516928707155</c:v>
                </c:pt>
                <c:pt idx="20">
                  <c:v>0.13428293361760049</c:v>
                </c:pt>
                <c:pt idx="21">
                  <c:v>0.11908426722436034</c:v>
                </c:pt>
                <c:pt idx="22">
                  <c:v>0.11214177668110352</c:v>
                </c:pt>
                <c:pt idx="23">
                  <c:v>0.10523083942633464</c:v>
                </c:pt>
                <c:pt idx="24">
                  <c:v>9.6097991495818311E-2</c:v>
                </c:pt>
                <c:pt idx="25">
                  <c:v>0.10275335613322537</c:v>
                </c:pt>
                <c:pt idx="26">
                  <c:v>0.1058331586422302</c:v>
                </c:pt>
                <c:pt idx="27">
                  <c:v>0.11503257831715191</c:v>
                </c:pt>
                <c:pt idx="28">
                  <c:v>0.10328113324344469</c:v>
                </c:pt>
                <c:pt idx="29">
                  <c:v>8.8909456662293454E-2</c:v>
                </c:pt>
                <c:pt idx="30">
                  <c:v>8.9024097236242675E-2</c:v>
                </c:pt>
                <c:pt idx="31">
                  <c:v>8.3461800651513152E-2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FD-4407-916C-52FDCC367331}"/>
            </c:ext>
          </c:extLst>
        </c:ser>
        <c:ser>
          <c:idx val="1"/>
          <c:order val="1"/>
          <c:tx>
            <c:strRef>
              <c:f>'Analiza Baru (r=4)'!J4</c:f>
              <c:strCache>
                <c:ptCount val="1"/>
                <c:pt idx="0">
                  <c:v>Czas oczek. (W)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'Analiza Baru (r=4)'!$D$5:$D$36</c:f>
              <c:numCache>
                <c:formatCode>0.00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cat>
          <c:val>
            <c:numRef>
              <c:f>'Analiza Baru (r=4)'!$J$5:$J$36</c:f>
              <c:numCache>
                <c:formatCode>0.00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1.7336505746630917</c:v>
                </c:pt>
                <c:pt idx="3">
                  <c:v>0.44462483592771773</c:v>
                </c:pt>
                <c:pt idx="4">
                  <c:v>9.3261592868968013E-2</c:v>
                </c:pt>
                <c:pt idx="5">
                  <c:v>8.5189769404189125E-2</c:v>
                </c:pt>
                <c:pt idx="6">
                  <c:v>0.10114180647858632</c:v>
                </c:pt>
                <c:pt idx="7">
                  <c:v>0.16415885856285145</c:v>
                </c:pt>
                <c:pt idx="8">
                  <c:v>0.20372738085828165</c:v>
                </c:pt>
                <c:pt idx="9">
                  <c:v>0.26983591980912125</c:v>
                </c:pt>
                <c:pt idx="10">
                  <c:v>0.36615891211602841</c:v>
                </c:pt>
                <c:pt idx="11">
                  <c:v>0.3363872387003034</c:v>
                </c:pt>
                <c:pt idx="12">
                  <c:v>0.25952388586287467</c:v>
                </c:pt>
                <c:pt idx="13">
                  <c:v>0.22709952631701652</c:v>
                </c:pt>
                <c:pt idx="14">
                  <c:v>0.18786983178991193</c:v>
                </c:pt>
                <c:pt idx="15">
                  <c:v>0.13868340409222901</c:v>
                </c:pt>
                <c:pt idx="16">
                  <c:v>0.11634624987362752</c:v>
                </c:pt>
                <c:pt idx="17">
                  <c:v>9.698967714128448E-2</c:v>
                </c:pt>
                <c:pt idx="18">
                  <c:v>8.8982087415520217E-2</c:v>
                </c:pt>
                <c:pt idx="19">
                  <c:v>8.0818043183451801E-2</c:v>
                </c:pt>
                <c:pt idx="20">
                  <c:v>7.3109597191804709E-2</c:v>
                </c:pt>
                <c:pt idx="21">
                  <c:v>6.6398500512976674E-2</c:v>
                </c:pt>
                <c:pt idx="22">
                  <c:v>6.3465744628943374E-2</c:v>
                </c:pt>
                <c:pt idx="23">
                  <c:v>6.0361578726494725E-2</c:v>
                </c:pt>
                <c:pt idx="24">
                  <c:v>5.6121227033557895E-2</c:v>
                </c:pt>
                <c:pt idx="25">
                  <c:v>5.8358636880793388E-2</c:v>
                </c:pt>
                <c:pt idx="26">
                  <c:v>5.9514819458686238E-2</c:v>
                </c:pt>
                <c:pt idx="27">
                  <c:v>6.4089579348127493E-2</c:v>
                </c:pt>
                <c:pt idx="28">
                  <c:v>5.882276037026074E-2</c:v>
                </c:pt>
                <c:pt idx="29">
                  <c:v>5.1666273149310528E-2</c:v>
                </c:pt>
                <c:pt idx="30">
                  <c:v>5.1978585805677172E-2</c:v>
                </c:pt>
                <c:pt idx="31">
                  <c:v>4.9381565385478617E-2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FD-4407-916C-52FDCC367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Czas pomiaru (min)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osoby / minuty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</xdr:row>
      <xdr:rowOff>9525</xdr:rowOff>
    </xdr:from>
    <xdr:ext cx="5467350" cy="27336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17</xdr:row>
      <xdr:rowOff>76200</xdr:rowOff>
    </xdr:from>
    <xdr:ext cx="5448300" cy="28098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32</xdr:row>
      <xdr:rowOff>142875</xdr:rowOff>
    </xdr:from>
    <xdr:ext cx="5629275" cy="28003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</xdr:row>
      <xdr:rowOff>0</xdr:rowOff>
    </xdr:from>
    <xdr:ext cx="5400675" cy="27527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17</xdr:row>
      <xdr:rowOff>95250</xdr:rowOff>
    </xdr:from>
    <xdr:ext cx="5438775" cy="27908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552450</xdr:colOff>
      <xdr:row>33</xdr:row>
      <xdr:rowOff>0</xdr:rowOff>
    </xdr:from>
    <xdr:ext cx="5457825" cy="27241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18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33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V30" sqref="V30"/>
    </sheetView>
  </sheetViews>
  <sheetFormatPr defaultRowHeight="15"/>
  <cols>
    <col min="1" max="10" width="13" customWidth="1"/>
  </cols>
  <sheetData>
    <row r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3.75" customHeight="1"/>
    <row r="4" spans="1:10" ht="32.2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>
      <c r="A5" s="2">
        <v>1</v>
      </c>
      <c r="B5" s="2">
        <v>0</v>
      </c>
      <c r="C5" s="2">
        <v>40</v>
      </c>
      <c r="D5" s="3">
        <f>SUM($B$5:B5)/60</f>
        <v>0</v>
      </c>
      <c r="E5" s="3">
        <f>IFERROR(60/AVERAGE($B$5:B5), 0)</f>
        <v>0</v>
      </c>
      <c r="F5" s="3">
        <f>IFERROR(60/AVERAGE($C$5:C5), 0)</f>
        <v>1.5</v>
      </c>
      <c r="G5" s="3">
        <f>IFERROR(E5/F5, 0)</f>
        <v>0</v>
      </c>
      <c r="H5" s="3">
        <f>IF(G5&lt;2, 1/(1 + G5 + (G5^2)/(2*(1-(G5/2)))), "Przeciążenie")</f>
        <v>1</v>
      </c>
      <c r="I5" s="3">
        <f>IF(G5&lt;2, (H5*(G5^3))/(4*(1-(G5/2))^2), "Przeciążenie")</f>
        <v>0</v>
      </c>
      <c r="J5" s="3">
        <f>IF(ISNUMBER(I5), IFERROR(I5/E5, 0), "Przeciążenie")</f>
        <v>0</v>
      </c>
    </row>
    <row r="6" spans="1:10">
      <c r="A6" s="2">
        <v>2</v>
      </c>
      <c r="B6" s="2">
        <v>6</v>
      </c>
      <c r="C6" s="2">
        <v>60</v>
      </c>
      <c r="D6" s="3">
        <f>SUM($B$5:B6)/60</f>
        <v>0.1</v>
      </c>
      <c r="E6" s="3">
        <f>IFERROR(60/AVERAGE($B$5:B6), 0)</f>
        <v>20</v>
      </c>
      <c r="F6" s="3">
        <f>IFERROR(60/AVERAGE($C$5:C6), 0)</f>
        <v>1.2</v>
      </c>
      <c r="G6" s="3">
        <f>IFERROR(E6/F6, 0)</f>
        <v>16.666666666666668</v>
      </c>
      <c r="H6" s="3" t="str">
        <f>IF(G6&lt;2, 1/(1 + G6 + (G6^2)/(2*(1-(G6/2)))), "Przeciążenie")</f>
        <v>Przeciążenie</v>
      </c>
      <c r="I6" s="3" t="str">
        <f>IF(G6&lt;2, (H6*(G6^3))/(4*(1-(G6/2))^2), "Przeciążenie")</f>
        <v>Przeciążenie</v>
      </c>
      <c r="J6" s="3" t="str">
        <f>IF(ISNUMBER(I6), IFERROR(I6/E6, 0), "Przeciążenie")</f>
        <v>Przeciążenie</v>
      </c>
    </row>
    <row r="7" spans="1:10">
      <c r="A7" s="2">
        <v>3</v>
      </c>
      <c r="B7" s="2">
        <v>40</v>
      </c>
      <c r="C7" s="2">
        <v>65</v>
      </c>
      <c r="D7" s="3">
        <f>SUM($B$5:B7)/60</f>
        <v>0.76666666666666672</v>
      </c>
      <c r="E7" s="3">
        <f>IFERROR(60/AVERAGE($B$5:B7), 0)</f>
        <v>3.9130434782608696</v>
      </c>
      <c r="F7" s="3">
        <f>IFERROR(60/AVERAGE($C$5:C7), 0)</f>
        <v>1.0909090909090908</v>
      </c>
      <c r="G7" s="3">
        <f>IFERROR(E7/F7, 0)</f>
        <v>3.5869565217391308</v>
      </c>
      <c r="H7" s="3" t="str">
        <f>IF(G7&lt;2, 1/(1 + G7 + (G7^2)/(2*(1-(G7/2)))), "Przeciążenie")</f>
        <v>Przeciążenie</v>
      </c>
      <c r="I7" s="3" t="str">
        <f>IF(G7&lt;2, (H7*(G7^3))/(4*(1-(G7/2))^2), "Przeciążenie")</f>
        <v>Przeciążenie</v>
      </c>
      <c r="J7" s="3" t="str">
        <f>IF(ISNUMBER(I7), IFERROR(I7/E7, 0), "Przeciążenie")</f>
        <v>Przeciążenie</v>
      </c>
    </row>
    <row r="8" spans="1:10">
      <c r="A8" s="2">
        <v>4</v>
      </c>
      <c r="B8" s="2">
        <v>30</v>
      </c>
      <c r="C8" s="2">
        <v>60</v>
      </c>
      <c r="D8" s="3">
        <f>SUM($B$5:B8)/60</f>
        <v>1.2666666666666666</v>
      </c>
      <c r="E8" s="3">
        <f>IFERROR(60/AVERAGE($B$5:B8), 0)</f>
        <v>3.1578947368421053</v>
      </c>
      <c r="F8" s="3">
        <f>IFERROR(60/AVERAGE($C$5:C8), 0)</f>
        <v>1.0666666666666667</v>
      </c>
      <c r="G8" s="3">
        <f>IFERROR(E8/F8, 0)</f>
        <v>2.9605263157894739</v>
      </c>
      <c r="H8" s="3" t="str">
        <f>IF(G8&lt;2, 1/(1 + G8 + (G8^2)/(2*(1-(G8/2)))), "Przeciążenie")</f>
        <v>Przeciążenie</v>
      </c>
      <c r="I8" s="3" t="str">
        <f>IF(G8&lt;2, (H8*(G8^3))/(4*(1-(G8/2))^2), "Przeciążenie")</f>
        <v>Przeciążenie</v>
      </c>
      <c r="J8" s="3" t="str">
        <f>IF(ISNUMBER(I8), IFERROR(I8/E8, 0), "Przeciążenie")</f>
        <v>Przeciążenie</v>
      </c>
    </row>
    <row r="9" spans="1:10">
      <c r="A9" s="2">
        <v>5</v>
      </c>
      <c r="B9" s="2">
        <v>50</v>
      </c>
      <c r="C9" s="2">
        <v>40</v>
      </c>
      <c r="D9" s="3">
        <f>SUM($B$5:B9)/60</f>
        <v>2.1</v>
      </c>
      <c r="E9" s="3">
        <f>IFERROR(60/AVERAGE($B$5:B9), 0)</f>
        <v>2.3809523809523809</v>
      </c>
      <c r="F9" s="3">
        <f>IFERROR(60/AVERAGE($C$5:C9), 0)</f>
        <v>1.1320754716981132</v>
      </c>
      <c r="G9" s="3">
        <f>IFERROR(E9/F9, 0)</f>
        <v>2.1031746031746033</v>
      </c>
      <c r="H9" s="3" t="str">
        <f>IF(G9&lt;2, 1/(1 + G9 + (G9^2)/(2*(1-(G9/2)))), "Przeciążenie")</f>
        <v>Przeciążenie</v>
      </c>
      <c r="I9" s="3" t="str">
        <f>IF(G9&lt;2, (H9*(G9^3))/(4*(1-(G9/2))^2), "Przeciążenie")</f>
        <v>Przeciążenie</v>
      </c>
      <c r="J9" s="3" t="str">
        <f>IF(ISNUMBER(I9), IFERROR(I9/E9, 0), "Przeciążenie")</f>
        <v>Przeciążenie</v>
      </c>
    </row>
    <row r="10" spans="1:10">
      <c r="A10" s="2">
        <v>6</v>
      </c>
      <c r="B10" s="2">
        <v>30</v>
      </c>
      <c r="C10" s="2">
        <v>55</v>
      </c>
      <c r="D10" s="3">
        <f>SUM($B$5:B10)/60</f>
        <v>2.6</v>
      </c>
      <c r="E10" s="3">
        <f>IFERROR(60/AVERAGE($B$5:B10), 0)</f>
        <v>2.3076923076923075</v>
      </c>
      <c r="F10" s="3">
        <f>IFERROR(60/AVERAGE($C$5:C10), 0)</f>
        <v>1.125</v>
      </c>
      <c r="G10" s="3">
        <f>IFERROR(E10/F10, 0)</f>
        <v>2.0512820512820511</v>
      </c>
      <c r="H10" s="3" t="str">
        <f>IF(G10&lt;2, 1/(1 + G10 + (G10^2)/(2*(1-(G10/2)))), "Przeciążenie")</f>
        <v>Przeciążenie</v>
      </c>
      <c r="I10" s="3" t="str">
        <f>IF(G10&lt;2, (H10*(G10^3))/(4*(1-(G10/2))^2), "Przeciążenie")</f>
        <v>Przeciążenie</v>
      </c>
      <c r="J10" s="3" t="str">
        <f>IF(ISNUMBER(I10), IFERROR(I10/E10, 0), "Przeciążenie")</f>
        <v>Przeciążenie</v>
      </c>
    </row>
    <row r="11" spans="1:10">
      <c r="A11" s="2">
        <v>7</v>
      </c>
      <c r="B11" s="2">
        <v>25</v>
      </c>
      <c r="C11" s="2">
        <v>65</v>
      </c>
      <c r="D11" s="3">
        <f>SUM($B$5:B11)/60</f>
        <v>3.0166666666666666</v>
      </c>
      <c r="E11" s="3">
        <f>IFERROR(60/AVERAGE($B$5:B11), 0)</f>
        <v>2.3204419889502761</v>
      </c>
      <c r="F11" s="3">
        <f>IFERROR(60/AVERAGE($C$5:C11), 0)</f>
        <v>1.0909090909090908</v>
      </c>
      <c r="G11" s="3">
        <f>IFERROR(E11/F11, 0)</f>
        <v>2.1270718232044201</v>
      </c>
      <c r="H11" s="3" t="str">
        <f>IF(G11&lt;2, 1/(1 + G11 + (G11^2)/(2*(1-(G11/2)))), "Przeciążenie")</f>
        <v>Przeciążenie</v>
      </c>
      <c r="I11" s="3" t="str">
        <f>IF(G11&lt;2, (H11*(G11^3))/(4*(1-(G11/2))^2), "Przeciążenie")</f>
        <v>Przeciążenie</v>
      </c>
      <c r="J11" s="3" t="str">
        <f>IF(ISNUMBER(I11), IFERROR(I11/E11, 0), "Przeciążenie")</f>
        <v>Przeciążenie</v>
      </c>
    </row>
    <row r="12" spans="1:10">
      <c r="A12" s="2">
        <v>8</v>
      </c>
      <c r="B12" s="2">
        <v>5</v>
      </c>
      <c r="C12" s="2">
        <v>60</v>
      </c>
      <c r="D12" s="3">
        <f>SUM($B$5:B12)/60</f>
        <v>3.1</v>
      </c>
      <c r="E12" s="3">
        <f>IFERROR(60/AVERAGE($B$5:B12), 0)</f>
        <v>2.5806451612903225</v>
      </c>
      <c r="F12" s="3">
        <f>IFERROR(60/AVERAGE($C$5:C12), 0)</f>
        <v>1.0786516853932584</v>
      </c>
      <c r="G12" s="3">
        <f>IFERROR(E12/F12, 0)</f>
        <v>2.39247311827957</v>
      </c>
      <c r="H12" s="3" t="str">
        <f>IF(G12&lt;2, 1/(1 + G12 + (G12^2)/(2*(1-(G12/2)))), "Przeciążenie")</f>
        <v>Przeciążenie</v>
      </c>
      <c r="I12" s="3" t="str">
        <f>IF(G12&lt;2, (H12*(G12^3))/(4*(1-(G12/2))^2), "Przeciążenie")</f>
        <v>Przeciążenie</v>
      </c>
      <c r="J12" s="3" t="str">
        <f>IF(ISNUMBER(I12), IFERROR(I12/E12, 0), "Przeciążenie")</f>
        <v>Przeciążenie</v>
      </c>
    </row>
    <row r="13" spans="1:10">
      <c r="A13" s="2">
        <v>9</v>
      </c>
      <c r="B13" s="2">
        <v>15</v>
      </c>
      <c r="C13" s="2">
        <v>60</v>
      </c>
      <c r="D13" s="3">
        <f>SUM($B$5:B13)/60</f>
        <v>3.35</v>
      </c>
      <c r="E13" s="3">
        <f>IFERROR(60/AVERAGE($B$5:B13), 0)</f>
        <v>2.6865671641791047</v>
      </c>
      <c r="F13" s="3">
        <f>IFERROR(60/AVERAGE($C$5:C13), 0)</f>
        <v>1.0693069306930691</v>
      </c>
      <c r="G13" s="3">
        <f>IFERROR(E13/F13, 0)</f>
        <v>2.5124378109452743</v>
      </c>
      <c r="H13" s="3" t="str">
        <f>IF(G13&lt;2, 1/(1 + G13 + (G13^2)/(2*(1-(G13/2)))), "Przeciążenie")</f>
        <v>Przeciążenie</v>
      </c>
      <c r="I13" s="3" t="str">
        <f>IF(G13&lt;2, (H13*(G13^3))/(4*(1-(G13/2))^2), "Przeciążenie")</f>
        <v>Przeciążenie</v>
      </c>
      <c r="J13" s="3" t="str">
        <f>IF(ISNUMBER(I13), IFERROR(I13/E13, 0), "Przeciążenie")</f>
        <v>Przeciążenie</v>
      </c>
    </row>
    <row r="14" spans="1:10">
      <c r="A14" s="2">
        <v>10</v>
      </c>
      <c r="B14" s="2">
        <v>15</v>
      </c>
      <c r="C14" s="2">
        <v>70</v>
      </c>
      <c r="D14" s="3">
        <f>SUM($B$5:B14)/60</f>
        <v>3.6</v>
      </c>
      <c r="E14" s="3">
        <f>IFERROR(60/AVERAGE($B$5:B14), 0)</f>
        <v>2.7777777777777777</v>
      </c>
      <c r="F14" s="3">
        <f>IFERROR(60/AVERAGE($C$5:C14), 0)</f>
        <v>1.0434782608695652</v>
      </c>
      <c r="G14" s="3">
        <f>IFERROR(E14/F14, 0)</f>
        <v>2.6620370370370372</v>
      </c>
      <c r="H14" s="3" t="str">
        <f>IF(G14&lt;2, 1/(1 + G14 + (G14^2)/(2*(1-(G14/2)))), "Przeciążenie")</f>
        <v>Przeciążenie</v>
      </c>
      <c r="I14" s="3" t="str">
        <f>IF(G14&lt;2, (H14*(G14^3))/(4*(1-(G14/2))^2), "Przeciążenie")</f>
        <v>Przeciążenie</v>
      </c>
      <c r="J14" s="3" t="str">
        <f>IF(ISNUMBER(I14), IFERROR(I14/E14, 0), "Przeciążenie")</f>
        <v>Przeciążenie</v>
      </c>
    </row>
    <row r="15" spans="1:10">
      <c r="A15" s="2">
        <v>11</v>
      </c>
      <c r="B15" s="2">
        <v>10</v>
      </c>
      <c r="C15" s="2">
        <v>65</v>
      </c>
      <c r="D15" s="3">
        <f>SUM($B$5:B15)/60</f>
        <v>3.7666666666666666</v>
      </c>
      <c r="E15" s="3">
        <f>IFERROR(60/AVERAGE($B$5:B15), 0)</f>
        <v>2.9203539823008846</v>
      </c>
      <c r="F15" s="3">
        <f>IFERROR(60/AVERAGE($C$5:C15), 0)</f>
        <v>1.03125</v>
      </c>
      <c r="G15" s="3">
        <f>IFERROR(E15/F15, 0)</f>
        <v>2.8318584070796455</v>
      </c>
      <c r="H15" s="3" t="str">
        <f>IF(G15&lt;2, 1/(1 + G15 + (G15^2)/(2*(1-(G15/2)))), "Przeciążenie")</f>
        <v>Przeciążenie</v>
      </c>
      <c r="I15" s="3" t="str">
        <f>IF(G15&lt;2, (H15*(G15^3))/(4*(1-(G15/2))^2), "Przeciążenie")</f>
        <v>Przeciążenie</v>
      </c>
      <c r="J15" s="3" t="str">
        <f>IF(ISNUMBER(I15), IFERROR(I15/E15, 0), "Przeciążenie")</f>
        <v>Przeciążenie</v>
      </c>
    </row>
    <row r="16" spans="1:10">
      <c r="A16" s="2">
        <v>12</v>
      </c>
      <c r="B16" s="2">
        <v>30</v>
      </c>
      <c r="C16" s="2">
        <v>70</v>
      </c>
      <c r="D16" s="3">
        <f>SUM($B$5:B16)/60</f>
        <v>4.2666666666666666</v>
      </c>
      <c r="E16" s="3">
        <f>IFERROR(60/AVERAGE($B$5:B16), 0)</f>
        <v>2.8125</v>
      </c>
      <c r="F16" s="3">
        <f>IFERROR(60/AVERAGE($C$5:C16), 0)</f>
        <v>1.0140845070422535</v>
      </c>
      <c r="G16" s="3">
        <f>IFERROR(E16/F16, 0)</f>
        <v>2.7734375</v>
      </c>
      <c r="H16" s="3" t="str">
        <f>IF(G16&lt;2, 1/(1 + G16 + (G16^2)/(2*(1-(G16/2)))), "Przeciążenie")</f>
        <v>Przeciążenie</v>
      </c>
      <c r="I16" s="3" t="str">
        <f>IF(G16&lt;2, (H16*(G16^3))/(4*(1-(G16/2))^2), "Przeciążenie")</f>
        <v>Przeciążenie</v>
      </c>
      <c r="J16" s="3" t="str">
        <f>IF(ISNUMBER(I16), IFERROR(I16/E16, 0), "Przeciążenie")</f>
        <v>Przeciążenie</v>
      </c>
    </row>
    <row r="17" spans="1:10">
      <c r="A17" s="2">
        <v>13</v>
      </c>
      <c r="B17" s="2">
        <v>40</v>
      </c>
      <c r="C17" s="2">
        <v>65</v>
      </c>
      <c r="D17" s="3">
        <f>SUM($B$5:B17)/60</f>
        <v>4.9333333333333336</v>
      </c>
      <c r="E17" s="3">
        <f>IFERROR(60/AVERAGE($B$5:B17), 0)</f>
        <v>2.6351351351351351</v>
      </c>
      <c r="F17" s="3">
        <f>IFERROR(60/AVERAGE($C$5:C17), 0)</f>
        <v>1.0064516129032259</v>
      </c>
      <c r="G17" s="3">
        <f>IFERROR(E17/F17, 0)</f>
        <v>2.618243243243243</v>
      </c>
      <c r="H17" s="3" t="str">
        <f>IF(G17&lt;2, 1/(1 + G17 + (G17^2)/(2*(1-(G17/2)))), "Przeciążenie")</f>
        <v>Przeciążenie</v>
      </c>
      <c r="I17" s="3" t="str">
        <f>IF(G17&lt;2, (H17*(G17^3))/(4*(1-(G17/2))^2), "Przeciążenie")</f>
        <v>Przeciążenie</v>
      </c>
      <c r="J17" s="3" t="str">
        <f>IF(ISNUMBER(I17), IFERROR(I17/E17, 0), "Przeciążenie")</f>
        <v>Przeciążenie</v>
      </c>
    </row>
    <row r="18" spans="1:10">
      <c r="A18" s="2">
        <v>14</v>
      </c>
      <c r="B18" s="2">
        <v>40</v>
      </c>
      <c r="C18" s="2">
        <v>75</v>
      </c>
      <c r="D18" s="3">
        <f>SUM($B$5:B18)/60</f>
        <v>5.6</v>
      </c>
      <c r="E18" s="3">
        <f>IFERROR(60/AVERAGE($B$5:B18), 0)</f>
        <v>2.5</v>
      </c>
      <c r="F18" s="3">
        <f>IFERROR(60/AVERAGE($C$5:C18), 0)</f>
        <v>0.98823529411764699</v>
      </c>
      <c r="G18" s="3">
        <f>IFERROR(E18/F18, 0)</f>
        <v>2.5297619047619051</v>
      </c>
      <c r="H18" s="3" t="str">
        <f>IF(G18&lt;2, 1/(1 + G18 + (G18^2)/(2*(1-(G18/2)))), "Przeciążenie")</f>
        <v>Przeciążenie</v>
      </c>
      <c r="I18" s="3" t="str">
        <f>IF(G18&lt;2, (H18*(G18^3))/(4*(1-(G18/2))^2), "Przeciążenie")</f>
        <v>Przeciążenie</v>
      </c>
      <c r="J18" s="3" t="str">
        <f>IF(ISNUMBER(I18), IFERROR(I18/E18, 0), "Przeciążenie")</f>
        <v>Przeciążenie</v>
      </c>
    </row>
    <row r="19" spans="1:10">
      <c r="A19" s="2">
        <v>15</v>
      </c>
      <c r="B19" s="2">
        <v>40</v>
      </c>
      <c r="C19" s="2">
        <v>60</v>
      </c>
      <c r="D19" s="3">
        <f>SUM($B$5:B19)/60</f>
        <v>6.2666666666666666</v>
      </c>
      <c r="E19" s="3">
        <f>IFERROR(60/AVERAGE($B$5:B19), 0)</f>
        <v>2.3936170212765959</v>
      </c>
      <c r="F19" s="3">
        <f>IFERROR(60/AVERAGE($C$5:C19), 0)</f>
        <v>0.98901098901098905</v>
      </c>
      <c r="G19" s="3">
        <f>IFERROR(E19/F19, 0)</f>
        <v>2.4202127659574471</v>
      </c>
      <c r="H19" s="3" t="str">
        <f>IF(G19&lt;2, 1/(1 + G19 + (G19^2)/(2*(1-(G19/2)))), "Przeciążenie")</f>
        <v>Przeciążenie</v>
      </c>
      <c r="I19" s="3" t="str">
        <f>IF(G19&lt;2, (H19*(G19^3))/(4*(1-(G19/2))^2), "Przeciążenie")</f>
        <v>Przeciążenie</v>
      </c>
      <c r="J19" s="3" t="str">
        <f>IF(ISNUMBER(I19), IFERROR(I19/E19, 0), "Przeciążenie")</f>
        <v>Przeciążenie</v>
      </c>
    </row>
    <row r="20" spans="1:10">
      <c r="A20" s="2">
        <v>16</v>
      </c>
      <c r="B20" s="2">
        <v>50</v>
      </c>
      <c r="C20" s="2">
        <v>50</v>
      </c>
      <c r="D20" s="3">
        <f>SUM($B$5:B20)/60</f>
        <v>7.1</v>
      </c>
      <c r="E20" s="3">
        <f>IFERROR(60/AVERAGE($B$5:B20), 0)</f>
        <v>2.2535211267605635</v>
      </c>
      <c r="F20" s="3">
        <f>IFERROR(60/AVERAGE($C$5:C20), 0)</f>
        <v>1</v>
      </c>
      <c r="G20" s="3">
        <f>IFERROR(E20/F20, 0)</f>
        <v>2.2535211267605635</v>
      </c>
      <c r="H20" s="3" t="str">
        <f>IF(G20&lt;2, 1/(1 + G20 + (G20^2)/(2*(1-(G20/2)))), "Przeciążenie")</f>
        <v>Przeciążenie</v>
      </c>
      <c r="I20" s="3" t="str">
        <f>IF(G20&lt;2, (H20*(G20^3))/(4*(1-(G20/2))^2), "Przeciążenie")</f>
        <v>Przeciążenie</v>
      </c>
      <c r="J20" s="3" t="str">
        <f>IF(ISNUMBER(I20), IFERROR(I20/E20, 0), "Przeciążenie")</f>
        <v>Przeciążenie</v>
      </c>
    </row>
    <row r="21" spans="1:10">
      <c r="A21" s="2">
        <v>17</v>
      </c>
      <c r="B21" s="2">
        <v>50</v>
      </c>
      <c r="C21" s="2">
        <v>65</v>
      </c>
      <c r="D21" s="3">
        <f>SUM($B$5:B21)/60</f>
        <v>7.9333333333333336</v>
      </c>
      <c r="E21" s="3">
        <f>IFERROR(60/AVERAGE($B$5:B21), 0)</f>
        <v>2.1428571428571428</v>
      </c>
      <c r="F21" s="3">
        <f>IFERROR(60/AVERAGE($C$5:C21), 0)</f>
        <v>0.99512195121951219</v>
      </c>
      <c r="G21" s="3">
        <f>IFERROR(E21/F21, 0)</f>
        <v>2.153361344537815</v>
      </c>
      <c r="H21" s="3" t="str">
        <f>IF(G21&lt;2, 1/(1 + G21 + (G21^2)/(2*(1-(G21/2)))), "Przeciążenie")</f>
        <v>Przeciążenie</v>
      </c>
      <c r="I21" s="3" t="str">
        <f>IF(G21&lt;2, (H21*(G21^3))/(4*(1-(G21/2))^2), "Przeciążenie")</f>
        <v>Przeciążenie</v>
      </c>
      <c r="J21" s="3" t="str">
        <f>IF(ISNUMBER(I21), IFERROR(I21/E21, 0), "Przeciążenie")</f>
        <v>Przeciążenie</v>
      </c>
    </row>
    <row r="22" spans="1:10">
      <c r="A22" s="2">
        <v>18</v>
      </c>
      <c r="B22" s="2">
        <v>55</v>
      </c>
      <c r="C22" s="2">
        <v>65</v>
      </c>
      <c r="D22" s="3">
        <f>SUM($B$5:B22)/60</f>
        <v>8.85</v>
      </c>
      <c r="E22" s="3">
        <f>IFERROR(60/AVERAGE($B$5:B22), 0)</f>
        <v>2.0338983050847457</v>
      </c>
      <c r="F22" s="3">
        <f>IFERROR(60/AVERAGE($C$5:C22), 0)</f>
        <v>0.99082568807339444</v>
      </c>
      <c r="G22" s="3">
        <f>IFERROR(E22/F22, 0)</f>
        <v>2.0527306967984935</v>
      </c>
      <c r="H22" s="3" t="str">
        <f>IF(G22&lt;2, 1/(1 + G22 + (G22^2)/(2*(1-(G22/2)))), "Przeciążenie")</f>
        <v>Przeciążenie</v>
      </c>
      <c r="I22" s="3" t="str">
        <f>IF(G22&lt;2, (H22*(G22^3))/(4*(1-(G22/2))^2), "Przeciążenie")</f>
        <v>Przeciążenie</v>
      </c>
      <c r="J22" s="3" t="str">
        <f>IF(ISNUMBER(I22), IFERROR(I22/E22, 0), "Przeciążenie")</f>
        <v>Przeciążenie</v>
      </c>
    </row>
    <row r="23" spans="1:10">
      <c r="A23" s="2">
        <v>19</v>
      </c>
      <c r="B23" s="2">
        <v>45</v>
      </c>
      <c r="C23" s="2">
        <v>65</v>
      </c>
      <c r="D23" s="3">
        <f>SUM($B$5:B23)/60</f>
        <v>9.6</v>
      </c>
      <c r="E23" s="3">
        <f>IFERROR(60/AVERAGE($B$5:B23), 0)</f>
        <v>1.9791666666666667</v>
      </c>
      <c r="F23" s="3">
        <f>IFERROR(60/AVERAGE($C$5:C23), 0)</f>
        <v>0.98701298701298701</v>
      </c>
      <c r="G23" s="3">
        <f>IFERROR(E23/F23, 0)</f>
        <v>2.0052083333333335</v>
      </c>
      <c r="H23" s="3" t="str">
        <f>IF(G23&lt;2, 1/(1 + G23 + (G23^2)/(2*(1-(G23/2)))), "Przeciążenie")</f>
        <v>Przeciążenie</v>
      </c>
      <c r="I23" s="3" t="str">
        <f>IF(G23&lt;2, (H23*(G23^3))/(4*(1-(G23/2))^2), "Przeciążenie")</f>
        <v>Przeciążenie</v>
      </c>
      <c r="J23" s="3" t="str">
        <f>IF(ISNUMBER(I23), IFERROR(I23/E23, 0), "Przeciążenie")</f>
        <v>Przeciążenie</v>
      </c>
    </row>
    <row r="24" spans="1:10">
      <c r="A24" s="2">
        <v>20</v>
      </c>
      <c r="B24" s="2">
        <v>55</v>
      </c>
      <c r="C24" s="2">
        <v>75</v>
      </c>
      <c r="D24" s="3">
        <f>SUM($B$5:B24)/60</f>
        <v>10.516666666666667</v>
      </c>
      <c r="E24" s="3">
        <f>IFERROR(60/AVERAGE($B$5:B24), 0)</f>
        <v>1.9017432646592709</v>
      </c>
      <c r="F24" s="3">
        <f>IFERROR(60/AVERAGE($C$5:C24), 0)</f>
        <v>0.97560975609756095</v>
      </c>
      <c r="G24" s="3">
        <f>IFERROR(E24/F24, 0)</f>
        <v>1.9492868462757527</v>
      </c>
      <c r="H24" s="3">
        <f>IF(G24&lt;2, 1/(1 + G24 + (G24^2)/(2*(1-(G24/2)))), "Przeciążenie")</f>
        <v>1.2841091492776914E-2</v>
      </c>
      <c r="I24" s="3">
        <f>IF(G24&lt;2, (H24*(G24^3))/(4*(1-(G24/2))^2), "Przeciążenie")</f>
        <v>36.981792607977766</v>
      </c>
      <c r="J24" s="3">
        <f>IF(ISNUMBER(I24), IFERROR(I24/E24, 0), "Przeciążenie")</f>
        <v>19.446259279694978</v>
      </c>
    </row>
    <row r="25" spans="1:10">
      <c r="A25" s="2">
        <v>21</v>
      </c>
      <c r="B25" s="2">
        <v>55</v>
      </c>
      <c r="C25" s="2">
        <v>70</v>
      </c>
      <c r="D25" s="3">
        <f>SUM($B$5:B25)/60</f>
        <v>11.433333333333334</v>
      </c>
      <c r="E25" s="3">
        <f>IFERROR(60/AVERAGE($B$5:B25), 0)</f>
        <v>1.8367346938775511</v>
      </c>
      <c r="F25" s="3">
        <f>IFERROR(60/AVERAGE($C$5:C25), 0)</f>
        <v>0.96923076923076923</v>
      </c>
      <c r="G25" s="3">
        <f>IFERROR(E25/F25, 0)</f>
        <v>1.8950437317784257</v>
      </c>
      <c r="H25" s="3">
        <f>IF(G25&lt;2, 1/(1 + G25 + (G25^2)/(2*(1-(G25/2)))), "Przeciążenie")</f>
        <v>2.6946107784431135E-2</v>
      </c>
      <c r="I25" s="3">
        <f>IF(G25&lt;2, (H25*(G25^3))/(4*(1-(G25/2))^2), "Przeciążenie")</f>
        <v>16.647038769884915</v>
      </c>
      <c r="J25" s="3">
        <f>IF(ISNUMBER(I25), IFERROR(I25/E25, 0), "Przeciążenie")</f>
        <v>9.063387774715121</v>
      </c>
    </row>
    <row r="26" spans="1:10">
      <c r="A26" s="2">
        <v>22</v>
      </c>
      <c r="B26" s="2">
        <v>50</v>
      </c>
      <c r="C26" s="2">
        <v>60</v>
      </c>
      <c r="D26" s="3">
        <f>SUM($B$5:B26)/60</f>
        <v>12.266666666666667</v>
      </c>
      <c r="E26" s="3">
        <f>IFERROR(60/AVERAGE($B$5:B26), 0)</f>
        <v>1.7934782608695652</v>
      </c>
      <c r="F26" s="3">
        <f>IFERROR(60/AVERAGE($C$5:C26), 0)</f>
        <v>0.97058823529411764</v>
      </c>
      <c r="G26" s="3">
        <f>IFERROR(E26/F26, 0)</f>
        <v>1.8478260869565217</v>
      </c>
      <c r="H26" s="3">
        <f>IF(G26&lt;2, 1/(1 + G26 + (G26^2)/(2*(1-(G26/2)))), "Przeciążenie")</f>
        <v>3.954802259887006E-2</v>
      </c>
      <c r="I26" s="3">
        <f>IF(G26&lt;2, (H26*(G26^3))/(4*(1-(G26/2))^2), "Przeciążenie")</f>
        <v>10.775257044601185</v>
      </c>
      <c r="J26" s="3">
        <f>IF(ISNUMBER(I26), IFERROR(I26/E26, 0), "Przeciążenie")</f>
        <v>6.0080221097170243</v>
      </c>
    </row>
    <row r="27" spans="1:10">
      <c r="A27" s="2">
        <v>23</v>
      </c>
      <c r="B27" s="2">
        <v>45</v>
      </c>
      <c r="C27" s="2">
        <v>65</v>
      </c>
      <c r="D27" s="3">
        <f>SUM($B$5:B27)/60</f>
        <v>13.016666666666667</v>
      </c>
      <c r="E27" s="3">
        <f>IFERROR(60/AVERAGE($B$5:B27), 0)</f>
        <v>1.7669654289372598</v>
      </c>
      <c r="F27" s="3">
        <f>IFERROR(60/AVERAGE($C$5:C27), 0)</f>
        <v>0.96842105263157896</v>
      </c>
      <c r="G27" s="3">
        <f>IFERROR(E27/F27, 0)</f>
        <v>1.8245838668373879</v>
      </c>
      <c r="H27" s="3">
        <f>IF(G27&lt;2, 1/(1 + G27 + (G27^2)/(2*(1-(G27/2)))), "Przeciążenie")</f>
        <v>4.5865416806160034E-2</v>
      </c>
      <c r="I27" s="3">
        <f>IF(G27&lt;2, (H27*(G27^3))/(4*(1-(G27/2))^2), "Przeciążenie")</f>
        <v>9.0539432787741276</v>
      </c>
      <c r="J27" s="3">
        <f>IF(ISNUMBER(I27), IFERROR(I27/E27, 0), "Przeciążenie")</f>
        <v>5.1240070295091265</v>
      </c>
    </row>
    <row r="28" spans="1:10">
      <c r="A28" s="2">
        <v>24</v>
      </c>
      <c r="B28" s="2">
        <v>45</v>
      </c>
      <c r="C28" s="2">
        <v>62</v>
      </c>
      <c r="D28" s="3">
        <f>SUM($B$5:B28)/60</f>
        <v>13.766666666666667</v>
      </c>
      <c r="E28" s="3">
        <f>IFERROR(60/AVERAGE($B$5:B28), 0)</f>
        <v>1.7433414043583537</v>
      </c>
      <c r="F28" s="3">
        <f>IFERROR(60/AVERAGE($C$5:C28), 0)</f>
        <v>0.96839273705447204</v>
      </c>
      <c r="G28" s="3">
        <f>IFERROR(E28/F28, 0)</f>
        <v>1.8002421307506056</v>
      </c>
      <c r="H28" s="3">
        <f>IF(G28&lt;2, 1/(1 + G28 + (G28^2)/(2*(1-(G28/2)))), "Przeciążenie")</f>
        <v>5.2564510990761315E-2</v>
      </c>
      <c r="I28" s="3">
        <f>IF(G28&lt;2, (H28*(G28^3))/(4*(1-(G28/2))^2), "Przeciążenie")</f>
        <v>7.6855968258752387</v>
      </c>
      <c r="J28" s="3">
        <f>IF(ISNUMBER(I28), IFERROR(I28/E28, 0), "Przeciążenie")</f>
        <v>4.4085437348423238</v>
      </c>
    </row>
    <row r="29" spans="1:10">
      <c r="A29" s="2">
        <v>25</v>
      </c>
      <c r="B29" s="2">
        <v>50</v>
      </c>
      <c r="C29" s="2">
        <v>60</v>
      </c>
      <c r="D29" s="3">
        <f>SUM($B$5:B29)/60</f>
        <v>14.6</v>
      </c>
      <c r="E29" s="3">
        <f>IFERROR(60/AVERAGE($B$5:B29), 0)</f>
        <v>1.7123287671232876</v>
      </c>
      <c r="F29" s="3">
        <f>IFERROR(60/AVERAGE($C$5:C29), 0)</f>
        <v>0.9696186166774402</v>
      </c>
      <c r="G29" s="3">
        <f>IFERROR(E29/F29, 0)</f>
        <v>1.7659817351598173</v>
      </c>
      <c r="H29" s="3">
        <f>IF(G29&lt;2, 1/(1 + G29 + (G29^2)/(2*(1-(G29/2)))), "Przeciążenie")</f>
        <v>6.2140042437102173E-2</v>
      </c>
      <c r="I29" s="3">
        <f>IF(G29&lt;2, (H29*(G29^3))/(4*(1-(G29/2))^2), "Przeciążenie")</f>
        <v>6.2492897070362625</v>
      </c>
      <c r="J29" s="3">
        <f>IF(ISNUMBER(I29), IFERROR(I29/E29, 0), "Przeciążenie")</f>
        <v>3.6495851889091773</v>
      </c>
    </row>
    <row r="30" spans="1:10">
      <c r="A30" s="2">
        <v>26</v>
      </c>
      <c r="B30" s="2">
        <v>10</v>
      </c>
      <c r="C30" s="2">
        <v>40</v>
      </c>
      <c r="D30" s="3">
        <f>SUM($B$5:B30)/60</f>
        <v>14.766666666666667</v>
      </c>
      <c r="E30" s="3">
        <f>IFERROR(60/AVERAGE($B$5:B30), 0)</f>
        <v>1.7607223476297966</v>
      </c>
      <c r="F30" s="3">
        <f>IFERROR(60/AVERAGE($C$5:C30), 0)</f>
        <v>0.98298676748582225</v>
      </c>
      <c r="G30" s="3">
        <f>IFERROR(E30/F30, 0)</f>
        <v>1.7911963882618509</v>
      </c>
      <c r="H30" s="3">
        <f>IF(G30&lt;2, 1/(1 + G30 + (G30^2)/(2*(1-(G30/2)))), "Przeciążenie")</f>
        <v>5.5075915451027121E-2</v>
      </c>
      <c r="I30" s="3">
        <f>IF(G30&lt;2, (H30*(G30^3))/(4*(1-(G30/2))^2), "Przeciążenie")</f>
        <v>7.2596440323910087</v>
      </c>
      <c r="J30" s="3">
        <f>IF(ISNUMBER(I30), IFERROR(I30/E30, 0), "Przeciążenie")</f>
        <v>4.123105520960535</v>
      </c>
    </row>
    <row r="31" spans="1:10">
      <c r="A31" s="2">
        <v>27</v>
      </c>
      <c r="B31" s="2">
        <v>25</v>
      </c>
      <c r="C31" s="2">
        <v>55</v>
      </c>
      <c r="D31" s="3">
        <f>SUM($B$5:B31)/60</f>
        <v>15.183333333333334</v>
      </c>
      <c r="E31" s="3">
        <f>IFERROR(60/AVERAGE($B$5:B31), 0)</f>
        <v>1.778265642151482</v>
      </c>
      <c r="F31" s="3">
        <f>IFERROR(60/AVERAGE($C$5:C31), 0)</f>
        <v>0.98660170523751523</v>
      </c>
      <c r="G31" s="3">
        <f>IFERROR(E31/F31, 0)</f>
        <v>1.8024149286498354</v>
      </c>
      <c r="H31" s="3">
        <f>IF(G31&lt;2, 1/(1 + G31 + (G31^2)/(2*(1-(G31/2)))), "Przeciążenie")</f>
        <v>5.1963048498845241E-2</v>
      </c>
      <c r="I31" s="3">
        <f>IF(G31&lt;2, (H31*(G31^3))/(4*(1-(G31/2))^2), "Przeciążenie")</f>
        <v>7.7938257693229689</v>
      </c>
      <c r="J31" s="3">
        <f>IF(ISNUMBER(I31), IFERROR(I31/E31, 0), "Przeciążenie")</f>
        <v>4.3828242443538423</v>
      </c>
    </row>
    <row r="32" spans="1:10">
      <c r="A32" s="2">
        <v>28</v>
      </c>
      <c r="B32" s="2">
        <v>25</v>
      </c>
      <c r="C32" s="2">
        <v>75</v>
      </c>
      <c r="D32" s="3">
        <f>SUM($B$5:B32)/60</f>
        <v>15.6</v>
      </c>
      <c r="E32" s="3">
        <f>IFERROR(60/AVERAGE($B$5:B32), 0)</f>
        <v>1.7948717948717947</v>
      </c>
      <c r="F32" s="3">
        <f>IFERROR(60/AVERAGE($C$5:C32), 0)</f>
        <v>0.97845078625509618</v>
      </c>
      <c r="G32" s="3">
        <f>IFERROR(E32/F32, 0)</f>
        <v>1.8344017094017091</v>
      </c>
      <c r="H32" s="3">
        <f>IF(G32&lt;2, 1/(1 + G32 + (G32^2)/(2*(1-(G32/2)))), "Przeciążenie")</f>
        <v>4.318751741432162E-2</v>
      </c>
      <c r="I32" s="3">
        <f>IF(G32&lt;2, (H32*(G32^3))/(4*(1-(G32/2))^2), "Przeciążenie")</f>
        <v>9.7214238867298164</v>
      </c>
      <c r="J32" s="3">
        <f>IF(ISNUMBER(I32), IFERROR(I32/E32, 0), "Przeciążenie")</f>
        <v>5.4162218797494699</v>
      </c>
    </row>
    <row r="33" spans="1:10">
      <c r="A33" s="2">
        <v>29</v>
      </c>
      <c r="B33" s="2">
        <v>55</v>
      </c>
      <c r="C33" s="2">
        <v>60</v>
      </c>
      <c r="D33" s="3">
        <f>SUM($B$5:B33)/60</f>
        <v>16.516666666666666</v>
      </c>
      <c r="E33" s="3">
        <f>IFERROR(60/AVERAGE($B$5:B33), 0)</f>
        <v>1.7558022199798184</v>
      </c>
      <c r="F33" s="3">
        <f>IFERROR(60/AVERAGE($C$5:C33), 0)</f>
        <v>0.97917839054586386</v>
      </c>
      <c r="G33" s="3">
        <f>IFERROR(E33/F33, 0)</f>
        <v>1.7931382441977801</v>
      </c>
      <c r="H33" s="3">
        <f>IF(G33&lt;2, 1/(1 + G33 + (G33^2)/(2*(1-(G33/2)))), "Przeciążenie")</f>
        <v>5.4535780792764006E-2</v>
      </c>
      <c r="I33" s="3">
        <f>IF(G33&lt;2, (H33*(G33^3))/(4*(1-(G33/2))^2), "Przeciążenie")</f>
        <v>7.3478865483326725</v>
      </c>
      <c r="J33" s="3">
        <f>IF(ISNUMBER(I33), IFERROR(I33/E33, 0), "Przeciążenie")</f>
        <v>4.1849169939067119</v>
      </c>
    </row>
    <row r="34" spans="1:10">
      <c r="A34" s="2">
        <v>30</v>
      </c>
      <c r="B34" s="2">
        <v>55</v>
      </c>
      <c r="C34" s="2">
        <v>40</v>
      </c>
      <c r="D34" s="3">
        <f>SUM($B$5:B34)/60</f>
        <v>17.433333333333334</v>
      </c>
      <c r="E34" s="3">
        <f>IFERROR(60/AVERAGE($B$5:B34), 0)</f>
        <v>1.7208413001912046</v>
      </c>
      <c r="F34" s="3">
        <f>IFERROR(60/AVERAGE($C$5:C34), 0)</f>
        <v>0.99064391854705558</v>
      </c>
      <c r="G34" s="3">
        <f>IFERROR(E34/F34, 0)</f>
        <v>1.7370936902485661</v>
      </c>
      <c r="H34" s="3">
        <f>IF(G34&lt;2, 1/(1 + G34 + (G34^2)/(2*(1-(G34/2)))), "Przeciążenie")</f>
        <v>7.0350473266820132E-2</v>
      </c>
      <c r="I34" s="3">
        <f>IF(G34&lt;2, (H34*(G34^3))/(4*(1-(G34/2))^2), "Przeciążenie")</f>
        <v>5.3350038003907549</v>
      </c>
      <c r="J34" s="3">
        <f>IF(ISNUMBER(I34), IFERROR(I34/E34, 0), "Przeciążenie")</f>
        <v>3.1002299862270721</v>
      </c>
    </row>
    <row r="35" spans="1:10">
      <c r="A35" s="2">
        <v>31</v>
      </c>
      <c r="B35" s="2">
        <v>40</v>
      </c>
      <c r="C35" s="2">
        <v>70</v>
      </c>
      <c r="D35" s="3">
        <f>SUM($B$5:B35)/60</f>
        <v>18.100000000000001</v>
      </c>
      <c r="E35" s="3">
        <f>IFERROR(60/AVERAGE($B$5:B35), 0)</f>
        <v>1.7127071823204421</v>
      </c>
      <c r="F35" s="3">
        <f>IFERROR(60/AVERAGE($C$5:C35), 0)</f>
        <v>0.98569157392686813</v>
      </c>
      <c r="G35" s="3">
        <f>IFERROR(E35/F35, 0)</f>
        <v>1.7375690607734806</v>
      </c>
      <c r="H35" s="3">
        <f>IF(G35&lt;2, 1/(1 + G35 + (G35^2)/(2*(1-(G35/2)))), "Przeciążenie")</f>
        <v>7.021433850702144E-2</v>
      </c>
      <c r="I35" s="3">
        <f>IF(G35&lt;2, (H35*(G35^3))/(4*(1-(G35/2))^2), "Przeciążenie")</f>
        <v>5.3483764015519544</v>
      </c>
      <c r="J35" s="3">
        <f>IF(ISNUMBER(I35), IFERROR(I35/E35, 0), "Przeciążenie")</f>
        <v>3.1227617054222701</v>
      </c>
    </row>
    <row r="36" spans="1:10">
      <c r="A36" s="2">
        <v>32</v>
      </c>
      <c r="B36" s="2">
        <v>50</v>
      </c>
      <c r="C36" s="2">
        <v>60</v>
      </c>
      <c r="D36" s="3">
        <f>SUM($B$5:B36)/60</f>
        <v>18.933333333333334</v>
      </c>
      <c r="E36" s="3">
        <f>IFERROR(60/AVERAGE($B$5:B36), 0)</f>
        <v>1.6901408450704225</v>
      </c>
      <c r="F36" s="3">
        <f>IFERROR(60/AVERAGE($C$5:C36), 0)</f>
        <v>0.98613251155624038</v>
      </c>
      <c r="G36" s="3">
        <f>IFERROR(E36/F36, 0)</f>
        <v>1.7139084507042253</v>
      </c>
      <c r="H36" s="3">
        <f>IF(G36&lt;2, 1/(1 + G36 + (G36^2)/(2*(1-(G36/2)))), "Przeciążenie")</f>
        <v>7.7032472149798567E-2</v>
      </c>
      <c r="I36" s="3">
        <f>IF(G36&lt;2, (H36*(G36^3))/(4*(1-(G36/2))^2), "Przeciążenie")</f>
        <v>4.7383445439901042</v>
      </c>
      <c r="J36" s="3">
        <f>IF(ISNUMBER(I36), IFERROR(I36/E36, 0), "Przeciążenie")</f>
        <v>2.8035205218608117</v>
      </c>
    </row>
  </sheetData>
  <mergeCells count="1">
    <mergeCell ref="A1:J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/>
  </sheetViews>
  <sheetFormatPr defaultRowHeight="15"/>
  <cols>
    <col min="1" max="10" width="13" customWidth="1"/>
  </cols>
  <sheetData>
    <row r="1" spans="1:10">
      <c r="A1" s="4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idden="1"/>
    <row r="4" spans="1:10" ht="29.2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>
      <c r="A5" s="2">
        <v>1</v>
      </c>
      <c r="B5" s="2">
        <v>0</v>
      </c>
      <c r="C5" s="2">
        <v>40</v>
      </c>
      <c r="D5" s="3">
        <f>SUM($B$5:B5)/60</f>
        <v>0</v>
      </c>
      <c r="E5" s="3">
        <f>IFERROR(60/AVERAGE($B$5:B5), 0)</f>
        <v>0</v>
      </c>
      <c r="F5" s="3">
        <f>IFERROR(60/AVERAGE($C$5:C5), 0)</f>
        <v>1.5</v>
      </c>
      <c r="G5" s="3">
        <f>IFERROR(E5/F5, 0)</f>
        <v>0</v>
      </c>
      <c r="H5" s="3">
        <f>IF(G5&lt;3, 1/(1 + G5 + (G5^2)/2 + (G5^3)/(6*(1-(G5/3)))), "Przeciążenie")</f>
        <v>1</v>
      </c>
      <c r="I5" s="3">
        <f>IF(G5&lt;3, (H5*(G5^4))/(18*(1-(G5/3))^2), "Przeciążenie")</f>
        <v>0</v>
      </c>
      <c r="J5" s="3">
        <f>IF(ISNUMBER(I5), IFERROR(I5/E5, 0), "Przeciążenie")</f>
        <v>0</v>
      </c>
    </row>
    <row r="6" spans="1:10">
      <c r="A6" s="2">
        <v>2</v>
      </c>
      <c r="B6" s="2">
        <v>6</v>
      </c>
      <c r="C6" s="2">
        <v>60</v>
      </c>
      <c r="D6" s="3">
        <f>SUM($B$5:B6)/60</f>
        <v>0.1</v>
      </c>
      <c r="E6" s="3">
        <f>IFERROR(60/AVERAGE($B$5:B6), 0)</f>
        <v>20</v>
      </c>
      <c r="F6" s="3">
        <f>IFERROR(60/AVERAGE($C$5:C6), 0)</f>
        <v>1.2</v>
      </c>
      <c r="G6" s="3">
        <f>IFERROR(E6/F6, 0)</f>
        <v>16.666666666666668</v>
      </c>
      <c r="H6" s="3" t="str">
        <f>IF(G6&lt;3, 1/(1 + G6 + (G6^2)/2 + (G6^3)/(6*(1-(G6/3)))), "Przeciążenie")</f>
        <v>Przeciążenie</v>
      </c>
      <c r="I6" s="3" t="str">
        <f>IF(G6&lt;3, (H6*(G6^4))/(18*(1-(G6/3))^2), "Przeciążenie")</f>
        <v>Przeciążenie</v>
      </c>
      <c r="J6" s="3" t="str">
        <f>IF(ISNUMBER(I6), IFERROR(I6/E6, 0), "Przeciążenie")</f>
        <v>Przeciążenie</v>
      </c>
    </row>
    <row r="7" spans="1:10">
      <c r="A7" s="2">
        <v>3</v>
      </c>
      <c r="B7" s="2">
        <v>40</v>
      </c>
      <c r="C7" s="2">
        <v>65</v>
      </c>
      <c r="D7" s="3">
        <f>SUM($B$5:B7)/60</f>
        <v>0.76666666666666672</v>
      </c>
      <c r="E7" s="3">
        <f>IFERROR(60/AVERAGE($B$5:B7), 0)</f>
        <v>3.9130434782608696</v>
      </c>
      <c r="F7" s="3">
        <f>IFERROR(60/AVERAGE($C$5:C7), 0)</f>
        <v>1.0909090909090908</v>
      </c>
      <c r="G7" s="3">
        <f>IFERROR(E7/F7, 0)</f>
        <v>3.5869565217391308</v>
      </c>
      <c r="H7" s="3" t="str">
        <f>IF(G7&lt;3, 1/(1 + G7 + (G7^2)/2 + (G7^3)/(6*(1-(G7/3)))), "Przeciążenie")</f>
        <v>Przeciążenie</v>
      </c>
      <c r="I7" s="3" t="str">
        <f>IF(G7&lt;3, (H7*(G7^4))/(18*(1-(G7/3))^2), "Przeciążenie")</f>
        <v>Przeciążenie</v>
      </c>
      <c r="J7" s="3" t="str">
        <f>IF(ISNUMBER(I7), IFERROR(I7/E7, 0), "Przeciążenie")</f>
        <v>Przeciążenie</v>
      </c>
    </row>
    <row r="8" spans="1:10">
      <c r="A8" s="2">
        <v>4</v>
      </c>
      <c r="B8" s="2">
        <v>30</v>
      </c>
      <c r="C8" s="2">
        <v>60</v>
      </c>
      <c r="D8" s="3">
        <f>SUM($B$5:B8)/60</f>
        <v>1.2666666666666666</v>
      </c>
      <c r="E8" s="3">
        <f>IFERROR(60/AVERAGE($B$5:B8), 0)</f>
        <v>3.1578947368421053</v>
      </c>
      <c r="F8" s="3">
        <f>IFERROR(60/AVERAGE($C$5:C8), 0)</f>
        <v>1.0666666666666667</v>
      </c>
      <c r="G8" s="3">
        <f>IFERROR(E8/F8, 0)</f>
        <v>2.9605263157894739</v>
      </c>
      <c r="H8" s="3">
        <f>IF(G8&lt;3, 1/(1 + G8 + (G8^2)/2 + (G8^3)/(6*(1-(G8/3)))), "Przeciążenie")</f>
        <v>2.9671852733909694E-3</v>
      </c>
      <c r="I8" s="3">
        <f>IF(G8&lt;3, (H8*(G8^4))/(18*(1-(G8/3))^2), "Przeciążenie")</f>
        <v>73.14338373164685</v>
      </c>
      <c r="J8" s="3">
        <f>IF(ISNUMBER(I8), IFERROR(I8/E8, 0), "Przeciążenie")</f>
        <v>23.162071515021502</v>
      </c>
    </row>
    <row r="9" spans="1:10">
      <c r="A9" s="2">
        <v>5</v>
      </c>
      <c r="B9" s="2">
        <v>50</v>
      </c>
      <c r="C9" s="2">
        <v>40</v>
      </c>
      <c r="D9" s="3">
        <f>SUM($B$5:B9)/60</f>
        <v>2.1</v>
      </c>
      <c r="E9" s="3">
        <f>IFERROR(60/AVERAGE($B$5:B9), 0)</f>
        <v>2.3809523809523809</v>
      </c>
      <c r="F9" s="3">
        <f>IFERROR(60/AVERAGE($C$5:C9), 0)</f>
        <v>1.1320754716981132</v>
      </c>
      <c r="G9" s="3">
        <f>IFERROR(E9/F9, 0)</f>
        <v>2.1031746031746033</v>
      </c>
      <c r="H9" s="3">
        <f>IF(G9&lt;3, 1/(1 + G9 + (G9^2)/2 + (G9^3)/(6*(1-(G9/3)))), "Przeciążenie")</f>
        <v>9.5224400667466985E-2</v>
      </c>
      <c r="I9" s="3">
        <f>IF(G9&lt;3, (H9*(G9^4))/(18*(1-(G9/3))^2), "Przeciążenie")</f>
        <v>1.1582538989637814</v>
      </c>
      <c r="J9" s="3">
        <f>IF(ISNUMBER(I9), IFERROR(I9/E9, 0), "Przeciążenie")</f>
        <v>0.4864666375647882</v>
      </c>
    </row>
    <row r="10" spans="1:10">
      <c r="A10" s="2">
        <v>6</v>
      </c>
      <c r="B10" s="2">
        <v>30</v>
      </c>
      <c r="C10" s="2">
        <v>55</v>
      </c>
      <c r="D10" s="3">
        <f>SUM($B$5:B10)/60</f>
        <v>2.6</v>
      </c>
      <c r="E10" s="3">
        <f>IFERROR(60/AVERAGE($B$5:B10), 0)</f>
        <v>2.3076923076923075</v>
      </c>
      <c r="F10" s="3">
        <f>IFERROR(60/AVERAGE($C$5:C10), 0)</f>
        <v>1.125</v>
      </c>
      <c r="G10" s="3">
        <f>IFERROR(E10/F10, 0)</f>
        <v>2.0512820512820511</v>
      </c>
      <c r="H10" s="3">
        <f>IF(G10&lt;3, 1/(1 + G10 + (G10^2)/2 + (G10^3)/(6*(1-(G10/3)))), "Przeciążenie")</f>
        <v>0.10304934656859248</v>
      </c>
      <c r="I10" s="3">
        <f>IF(G10&lt;3, (H10*(G10^4))/(18*(1-(G10/3))^2), "Przeciążenie")</f>
        <v>1.0135438257983418</v>
      </c>
      <c r="J10" s="3">
        <f>IF(ISNUMBER(I10), IFERROR(I10/E10, 0), "Przeciążenie")</f>
        <v>0.43920232451261482</v>
      </c>
    </row>
    <row r="11" spans="1:10">
      <c r="A11" s="2">
        <v>7</v>
      </c>
      <c r="B11" s="2">
        <v>25</v>
      </c>
      <c r="C11" s="2">
        <v>65</v>
      </c>
      <c r="D11" s="3">
        <f>SUM($B$5:B11)/60</f>
        <v>3.0166666666666666</v>
      </c>
      <c r="E11" s="3">
        <f>IFERROR(60/AVERAGE($B$5:B11), 0)</f>
        <v>2.3204419889502761</v>
      </c>
      <c r="F11" s="3">
        <f>IFERROR(60/AVERAGE($C$5:C11), 0)</f>
        <v>1.0909090909090908</v>
      </c>
      <c r="G11" s="3">
        <f>IFERROR(E11/F11, 0)</f>
        <v>2.1270718232044201</v>
      </c>
      <c r="H11" s="3">
        <f>IF(G11&lt;3, 1/(1 + G11 + (G11^2)/2 + (G11^3)/(6*(1-(G11/3)))), "Przeciążenie")</f>
        <v>9.1729200312414258E-2</v>
      </c>
      <c r="I11" s="3">
        <f>IF(G11&lt;3, (H11*(G11^4))/(18*(1-(G11/3))^2), "Przeciążenie")</f>
        <v>1.2321092161636757</v>
      </c>
      <c r="J11" s="3">
        <f>IF(ISNUMBER(I11), IFERROR(I11/E11, 0), "Przeciążenie")</f>
        <v>0.53098040029910787</v>
      </c>
    </row>
    <row r="12" spans="1:10">
      <c r="A12" s="2">
        <v>8</v>
      </c>
      <c r="B12" s="2">
        <v>5</v>
      </c>
      <c r="C12" s="2">
        <v>60</v>
      </c>
      <c r="D12" s="3">
        <f>SUM($B$5:B12)/60</f>
        <v>3.1</v>
      </c>
      <c r="E12" s="3">
        <f>IFERROR(60/AVERAGE($B$5:B12), 0)</f>
        <v>2.5806451612903225</v>
      </c>
      <c r="F12" s="3">
        <f>IFERROR(60/AVERAGE($C$5:C12), 0)</f>
        <v>1.0786516853932584</v>
      </c>
      <c r="G12" s="3">
        <f>IFERROR(E12/F12, 0)</f>
        <v>2.39247311827957</v>
      </c>
      <c r="H12" s="3">
        <f>IF(G12&lt;3, 1/(1 + G12 + (G12^2)/2 + (G12^3)/(6*(1-(G12/3)))), "Przeciążenie")</f>
        <v>5.7061333195779447E-2</v>
      </c>
      <c r="I12" s="3">
        <f>IF(G12&lt;3, (H12*(G12^4))/(18*(1-(G12/3))^2), "Przeciążenie")</f>
        <v>2.5326150729528774</v>
      </c>
      <c r="J12" s="3">
        <f>IF(ISNUMBER(I12), IFERROR(I12/E12, 0), "Przeciążenie")</f>
        <v>0.98138834076923998</v>
      </c>
    </row>
    <row r="13" spans="1:10">
      <c r="A13" s="2">
        <v>9</v>
      </c>
      <c r="B13" s="2">
        <v>15</v>
      </c>
      <c r="C13" s="2">
        <v>60</v>
      </c>
      <c r="D13" s="3">
        <f>SUM($B$5:B13)/60</f>
        <v>3.35</v>
      </c>
      <c r="E13" s="3">
        <f>IFERROR(60/AVERAGE($B$5:B13), 0)</f>
        <v>2.6865671641791047</v>
      </c>
      <c r="F13" s="3">
        <f>IFERROR(60/AVERAGE($C$5:C13), 0)</f>
        <v>1.0693069306930691</v>
      </c>
      <c r="G13" s="3">
        <f>IFERROR(E13/F13, 0)</f>
        <v>2.5124378109452743</v>
      </c>
      <c r="H13" s="3">
        <f>IF(G13&lt;3, 1/(1 + G13 + (G13^2)/2 + (G13^3)/(6*(1-(G13/3)))), "Przeciążenie")</f>
        <v>4.3606128057858087E-2</v>
      </c>
      <c r="I13" s="3">
        <f>IF(G13&lt;3, (H13*(G13^4))/(18*(1-(G13/3))^2), "Przeciążenie")</f>
        <v>3.6545909668484717</v>
      </c>
      <c r="J13" s="3">
        <f>IF(ISNUMBER(I13), IFERROR(I13/E13, 0), "Przeciążenie")</f>
        <v>1.3603199709935978</v>
      </c>
    </row>
    <row r="14" spans="1:10">
      <c r="A14" s="2">
        <v>10</v>
      </c>
      <c r="B14" s="2">
        <v>15</v>
      </c>
      <c r="C14" s="2">
        <v>70</v>
      </c>
      <c r="D14" s="3">
        <f>SUM($B$5:B14)/60</f>
        <v>3.6</v>
      </c>
      <c r="E14" s="3">
        <f>IFERROR(60/AVERAGE($B$5:B14), 0)</f>
        <v>2.7777777777777777</v>
      </c>
      <c r="F14" s="3">
        <f>IFERROR(60/AVERAGE($C$5:C14), 0)</f>
        <v>1.0434782608695652</v>
      </c>
      <c r="G14" s="3">
        <f>IFERROR(E14/F14, 0)</f>
        <v>2.6620370370370372</v>
      </c>
      <c r="H14" s="3">
        <f>IF(G14&lt;3, 1/(1 + G14 + (G14^2)/2 + (G14^3)/(6*(1-(G14/3)))), "Przeciążenie")</f>
        <v>2.8478517845580607E-2</v>
      </c>
      <c r="I14" s="3">
        <f>IF(G14&lt;3, (H14*(G14^4))/(18*(1-(G14/3))^2), "Przeciążenie")</f>
        <v>6.2604498855617319</v>
      </c>
      <c r="J14" s="3">
        <f>IF(ISNUMBER(I14), IFERROR(I14/E14, 0), "Przeciążenie")</f>
        <v>2.2537619588022237</v>
      </c>
    </row>
    <row r="15" spans="1:10">
      <c r="A15" s="2">
        <v>11</v>
      </c>
      <c r="B15" s="2">
        <v>10</v>
      </c>
      <c r="C15" s="2">
        <v>65</v>
      </c>
      <c r="D15" s="3">
        <f>SUM($B$5:B15)/60</f>
        <v>3.7666666666666666</v>
      </c>
      <c r="E15" s="3">
        <f>IFERROR(60/AVERAGE($B$5:B15), 0)</f>
        <v>2.9203539823008846</v>
      </c>
      <c r="F15" s="3">
        <f>IFERROR(60/AVERAGE($C$5:C15), 0)</f>
        <v>1.03125</v>
      </c>
      <c r="G15" s="3">
        <f>IFERROR(E15/F15, 0)</f>
        <v>2.8318584070796455</v>
      </c>
      <c r="H15" s="3">
        <f>IF(G15&lt;3, 1/(1 + G15 + (G15^2)/2 + (G15^3)/(6*(1-(G15/3)))), "Przeciążenie")</f>
        <v>1.326725453725278E-2</v>
      </c>
      <c r="I15" s="3">
        <f>IF(G15&lt;3, (H15*(G15^4))/(18*(1-(G15/3))^2), "Przeciążenie")</f>
        <v>15.089918357125624</v>
      </c>
      <c r="J15" s="3">
        <f>IF(ISNUMBER(I15), IFERROR(I15/E15, 0), "Przeciążenie")</f>
        <v>5.1671538616824115</v>
      </c>
    </row>
    <row r="16" spans="1:10">
      <c r="A16" s="2">
        <v>12</v>
      </c>
      <c r="B16" s="2">
        <v>30</v>
      </c>
      <c r="C16" s="2">
        <v>70</v>
      </c>
      <c r="D16" s="3">
        <f>SUM($B$5:B16)/60</f>
        <v>4.2666666666666666</v>
      </c>
      <c r="E16" s="3">
        <f>IFERROR(60/AVERAGE($B$5:B16), 0)</f>
        <v>2.8125</v>
      </c>
      <c r="F16" s="3">
        <f>IFERROR(60/AVERAGE($C$5:C16), 0)</f>
        <v>1.0140845070422535</v>
      </c>
      <c r="G16" s="3">
        <f>IFERROR(E16/F16, 0)</f>
        <v>2.7734375</v>
      </c>
      <c r="H16" s="3">
        <f>IF(G16&lt;3, 1/(1 + G16 + (G16^2)/2 + (G16^3)/(6*(1-(G16/3)))), "Przeciążenie")</f>
        <v>1.8281706719462984E-2</v>
      </c>
      <c r="I16" s="3">
        <f>IF(G16&lt;3, (H16*(G16^4))/(18*(1-(G16/3))^2), "Przeciążenie")</f>
        <v>10.536205171332192</v>
      </c>
      <c r="J16" s="3">
        <f>IF(ISNUMBER(I16), IFERROR(I16/E16, 0), "Przeciążenie")</f>
        <v>3.7462062831403347</v>
      </c>
    </row>
    <row r="17" spans="1:10">
      <c r="A17" s="2">
        <v>13</v>
      </c>
      <c r="B17" s="2">
        <v>40</v>
      </c>
      <c r="C17" s="2">
        <v>65</v>
      </c>
      <c r="D17" s="3">
        <f>SUM($B$5:B17)/60</f>
        <v>4.9333333333333336</v>
      </c>
      <c r="E17" s="3">
        <f>IFERROR(60/AVERAGE($B$5:B17), 0)</f>
        <v>2.6351351351351351</v>
      </c>
      <c r="F17" s="3">
        <f>IFERROR(60/AVERAGE($C$5:C17), 0)</f>
        <v>1.0064516129032259</v>
      </c>
      <c r="G17" s="3">
        <f>IFERROR(E17/F17, 0)</f>
        <v>2.618243243243243</v>
      </c>
      <c r="H17" s="3">
        <f>IF(G17&lt;3, 1/(1 + G17 + (G17^2)/2 + (G17^3)/(6*(1-(G17/3)))), "Przeciążenie")</f>
        <v>3.2729249320301537E-2</v>
      </c>
      <c r="I17" s="3">
        <f>IF(G17&lt;3, (H17*(G17^4))/(18*(1-(G17/3))^2), "Przeciążenie")</f>
        <v>5.2768232767627437</v>
      </c>
      <c r="J17" s="3">
        <f>IF(ISNUMBER(I17), IFERROR(I17/E17, 0), "Przeciążenie")</f>
        <v>2.0024867819509899</v>
      </c>
    </row>
    <row r="18" spans="1:10">
      <c r="A18" s="2">
        <v>14</v>
      </c>
      <c r="B18" s="2">
        <v>40</v>
      </c>
      <c r="C18" s="2">
        <v>75</v>
      </c>
      <c r="D18" s="3">
        <f>SUM($B$5:B18)/60</f>
        <v>5.6</v>
      </c>
      <c r="E18" s="3">
        <f>IFERROR(60/AVERAGE($B$5:B18), 0)</f>
        <v>2.5</v>
      </c>
      <c r="F18" s="3">
        <f>IFERROR(60/AVERAGE($C$5:C18), 0)</f>
        <v>0.98823529411764699</v>
      </c>
      <c r="G18" s="3">
        <f>IFERROR(E18/F18, 0)</f>
        <v>2.5297619047619051</v>
      </c>
      <c r="H18" s="3">
        <f>IF(G18&lt;3, 1/(1 + G18 + (G18^2)/2 + (G18^3)/(6*(1-(G18/3)))), "Przeciążenie")</f>
        <v>4.1764151492599509E-2</v>
      </c>
      <c r="I18" s="3">
        <f>IF(G18&lt;3, (H18*(G18^4))/(18*(1-(G18/3))^2), "Przeciążenie")</f>
        <v>3.867734380386834</v>
      </c>
      <c r="J18" s="3">
        <f>IF(ISNUMBER(I18), IFERROR(I18/E18, 0), "Przeciążenie")</f>
        <v>1.5470937521547337</v>
      </c>
    </row>
    <row r="19" spans="1:10">
      <c r="A19" s="2">
        <v>15</v>
      </c>
      <c r="B19" s="2">
        <v>40</v>
      </c>
      <c r="C19" s="2">
        <v>60</v>
      </c>
      <c r="D19" s="3">
        <f>SUM($B$5:B19)/60</f>
        <v>6.2666666666666666</v>
      </c>
      <c r="E19" s="3">
        <f>IFERROR(60/AVERAGE($B$5:B19), 0)</f>
        <v>2.3936170212765959</v>
      </c>
      <c r="F19" s="3">
        <f>IFERROR(60/AVERAGE($C$5:C19), 0)</f>
        <v>0.98901098901098905</v>
      </c>
      <c r="G19" s="3">
        <f>IFERROR(E19/F19, 0)</f>
        <v>2.4202127659574471</v>
      </c>
      <c r="H19" s="3">
        <f>IF(G19&lt;3, 1/(1 + G19 + (G19^2)/2 + (G19^3)/(6*(1-(G19/3)))), "Przeciążenie")</f>
        <v>5.383783755380956E-2</v>
      </c>
      <c r="I19" s="3">
        <f>IF(G19&lt;3, (H19*(G19^4))/(18*(1-(G19/3))^2), "Przeciążenie")</f>
        <v>2.7474797759263723</v>
      </c>
      <c r="J19" s="3">
        <f>IF(ISNUMBER(I19), IFERROR(I19/E19, 0), "Przeciążenie")</f>
        <v>1.1478359952759065</v>
      </c>
    </row>
    <row r="20" spans="1:10">
      <c r="A20" s="2">
        <v>16</v>
      </c>
      <c r="B20" s="2">
        <v>50</v>
      </c>
      <c r="C20" s="2">
        <v>50</v>
      </c>
      <c r="D20" s="3">
        <f>SUM($B$5:B20)/60</f>
        <v>7.1</v>
      </c>
      <c r="E20" s="3">
        <f>IFERROR(60/AVERAGE($B$5:B20), 0)</f>
        <v>2.2535211267605635</v>
      </c>
      <c r="F20" s="3">
        <f>IFERROR(60/AVERAGE($C$5:C20), 0)</f>
        <v>1</v>
      </c>
      <c r="G20" s="3">
        <f>IFERROR(E20/F20, 0)</f>
        <v>2.2535211267605635</v>
      </c>
      <c r="H20" s="3">
        <f>IF(G20&lt;3, 1/(1 + G20 + (G20^2)/2 + (G20^3)/(6*(1-(G20/3)))), "Przeciążenie")</f>
        <v>7.4304444839365741E-2</v>
      </c>
      <c r="I20" s="3">
        <f>IF(G20&lt;3, (H20*(G20^4))/(18*(1-(G20/3))^2), "Przeciążenie")</f>
        <v>1.7194766873872327</v>
      </c>
      <c r="J20" s="3">
        <f>IF(ISNUMBER(I20), IFERROR(I20/E20, 0), "Przeciążenie")</f>
        <v>0.76301778002808451</v>
      </c>
    </row>
    <row r="21" spans="1:10">
      <c r="A21" s="2">
        <v>17</v>
      </c>
      <c r="B21" s="2">
        <v>50</v>
      </c>
      <c r="C21" s="2">
        <v>65</v>
      </c>
      <c r="D21" s="3">
        <f>SUM($B$5:B21)/60</f>
        <v>7.9333333333333336</v>
      </c>
      <c r="E21" s="3">
        <f>IFERROR(60/AVERAGE($B$5:B21), 0)</f>
        <v>2.1428571428571428</v>
      </c>
      <c r="F21" s="3">
        <f>IFERROR(60/AVERAGE($C$5:C21), 0)</f>
        <v>0.99512195121951219</v>
      </c>
      <c r="G21" s="3">
        <f>IFERROR(E21/F21, 0)</f>
        <v>2.153361344537815</v>
      </c>
      <c r="H21" s="3">
        <f>IF(G21&lt;3, 1/(1 + G21 + (G21^2)/2 + (G21^3)/(6*(1-(G21/3)))), "Przeciążenie")</f>
        <v>8.7960582170039492E-2</v>
      </c>
      <c r="I21" s="3">
        <f>IF(G21&lt;3, (H21*(G21^4))/(18*(1-(G21/3))^2), "Przeciążenie")</f>
        <v>1.31925747400756</v>
      </c>
      <c r="J21" s="3">
        <f>IF(ISNUMBER(I21), IFERROR(I21/E21, 0), "Przeciążenie")</f>
        <v>0.61565348787019469</v>
      </c>
    </row>
    <row r="22" spans="1:10">
      <c r="A22" s="2">
        <v>18</v>
      </c>
      <c r="B22" s="2">
        <v>55</v>
      </c>
      <c r="C22" s="2">
        <v>65</v>
      </c>
      <c r="D22" s="3">
        <f>SUM($B$5:B22)/60</f>
        <v>8.85</v>
      </c>
      <c r="E22" s="3">
        <f>IFERROR(60/AVERAGE($B$5:B22), 0)</f>
        <v>2.0338983050847457</v>
      </c>
      <c r="F22" s="3">
        <f>IFERROR(60/AVERAGE($C$5:C22), 0)</f>
        <v>0.99082568807339444</v>
      </c>
      <c r="G22" s="3">
        <f>IFERROR(E22/F22, 0)</f>
        <v>2.0527306967984935</v>
      </c>
      <c r="H22" s="3">
        <f>IF(G22&lt;3, 1/(1 + G22 + (G22^2)/2 + (G22^3)/(6*(1-(G22/3)))), "Przeciążenie")</f>
        <v>0.10282643436240743</v>
      </c>
      <c r="I22" s="3">
        <f>IF(G22&lt;3, (H22*(G22^4))/(18*(1-(G22/3))^2), "Przeciążenie")</f>
        <v>1.0173157310570173</v>
      </c>
      <c r="J22" s="3">
        <f>IF(ISNUMBER(I22), IFERROR(I22/E22, 0), "Przeciążenie")</f>
        <v>0.50018023443636683</v>
      </c>
    </row>
    <row r="23" spans="1:10">
      <c r="A23" s="2">
        <v>19</v>
      </c>
      <c r="B23" s="2">
        <v>45</v>
      </c>
      <c r="C23" s="2">
        <v>65</v>
      </c>
      <c r="D23" s="3">
        <f>SUM($B$5:B23)/60</f>
        <v>9.6</v>
      </c>
      <c r="E23" s="3">
        <f>IFERROR(60/AVERAGE($B$5:B23), 0)</f>
        <v>1.9791666666666667</v>
      </c>
      <c r="F23" s="3">
        <f>IFERROR(60/AVERAGE($C$5:C23), 0)</f>
        <v>0.98701298701298701</v>
      </c>
      <c r="G23" s="3">
        <f>IFERROR(E23/F23, 0)</f>
        <v>2.0052083333333335</v>
      </c>
      <c r="H23" s="3">
        <f>IF(G23&lt;3, 1/(1 + G23 + (G23^2)/2 + (G23^3)/(6*(1-(G23/3)))), "Przeciążenie")</f>
        <v>0.11027697045057126</v>
      </c>
      <c r="I23" s="3">
        <f>IF(G23&lt;3, (H23*(G23^4))/(18*(1-(G23/3))^2), "Przeciążenie")</f>
        <v>0.9008003723944259</v>
      </c>
      <c r="J23" s="3">
        <f>IF(ISNUMBER(I23), IFERROR(I23/E23, 0), "Przeciążenie")</f>
        <v>0.45514124078876256</v>
      </c>
    </row>
    <row r="24" spans="1:10">
      <c r="A24" s="2">
        <v>20</v>
      </c>
      <c r="B24" s="2">
        <v>55</v>
      </c>
      <c r="C24" s="2">
        <v>75</v>
      </c>
      <c r="D24" s="3">
        <f>SUM($B$5:B24)/60</f>
        <v>10.516666666666667</v>
      </c>
      <c r="E24" s="3">
        <f>IFERROR(60/AVERAGE($B$5:B24), 0)</f>
        <v>1.9017432646592709</v>
      </c>
      <c r="F24" s="3">
        <f>IFERROR(60/AVERAGE($C$5:C24), 0)</f>
        <v>0.97560975609756095</v>
      </c>
      <c r="G24" s="3">
        <f>IFERROR(E24/F24, 0)</f>
        <v>1.9492868462757527</v>
      </c>
      <c r="H24" s="3">
        <f>IF(G24&lt;3, 1/(1 + G24 + (G24^2)/2 + (G24^3)/(6*(1-(G24/3)))), "Przeciążenie")</f>
        <v>0.11942048297082122</v>
      </c>
      <c r="I24" s="3">
        <f>IF(G24&lt;3, (H24*(G24^4))/(18*(1-(G24/3))^2), "Przeciążenie")</f>
        <v>0.78087855849687282</v>
      </c>
      <c r="J24" s="3">
        <f>IF(ISNUMBER(I24), IFERROR(I24/E24, 0), "Przeciążenie")</f>
        <v>0.41061197534293897</v>
      </c>
    </row>
    <row r="25" spans="1:10">
      <c r="A25" s="2">
        <v>21</v>
      </c>
      <c r="B25" s="2">
        <v>55</v>
      </c>
      <c r="C25" s="2">
        <v>70</v>
      </c>
      <c r="D25" s="3">
        <f>SUM($B$5:B25)/60</f>
        <v>11.433333333333334</v>
      </c>
      <c r="E25" s="3">
        <f>IFERROR(60/AVERAGE($B$5:B25), 0)</f>
        <v>1.8367346938775511</v>
      </c>
      <c r="F25" s="3">
        <f>IFERROR(60/AVERAGE($C$5:C25), 0)</f>
        <v>0.96923076923076923</v>
      </c>
      <c r="G25" s="3">
        <f>IFERROR(E25/F25, 0)</f>
        <v>1.8950437317784257</v>
      </c>
      <c r="H25" s="3">
        <f>IF(G25&lt;3, 1/(1 + G25 + (G25^2)/2 + (G25^3)/(6*(1-(G25/3)))), "Przeciążenie")</f>
        <v>0.12869754092923749</v>
      </c>
      <c r="I25" s="3">
        <f>IF(G25&lt;3, (H25*(G25^4))/(18*(1-(G25/3))^2), "Przeciążenie")</f>
        <v>0.67971525914405617</v>
      </c>
      <c r="J25" s="3">
        <f>IF(ISNUMBER(I25), IFERROR(I25/E25, 0), "Przeciążenie")</f>
        <v>0.37006719664509724</v>
      </c>
    </row>
    <row r="26" spans="1:10">
      <c r="A26" s="2">
        <v>22</v>
      </c>
      <c r="B26" s="2">
        <v>50</v>
      </c>
      <c r="C26" s="2">
        <v>60</v>
      </c>
      <c r="D26" s="3">
        <f>SUM($B$5:B26)/60</f>
        <v>12.266666666666667</v>
      </c>
      <c r="E26" s="3">
        <f>IFERROR(60/AVERAGE($B$5:B26), 0)</f>
        <v>1.7934782608695652</v>
      </c>
      <c r="F26" s="3">
        <f>IFERROR(60/AVERAGE($C$5:C26), 0)</f>
        <v>0.97058823529411764</v>
      </c>
      <c r="G26" s="3">
        <f>IFERROR(E26/F26, 0)</f>
        <v>1.8478260869565217</v>
      </c>
      <c r="H26" s="3">
        <f>IF(G26&lt;3, 1/(1 + G26 + (G26^2)/2 + (G26^3)/(6*(1-(G26/3)))), "Przeciążenie")</f>
        <v>0.13711650403531961</v>
      </c>
      <c r="I26" s="3">
        <f>IF(G26&lt;3, (H26*(G26^4))/(18*(1-(G26/3))^2), "Przeciążenie")</f>
        <v>0.60209918097267556</v>
      </c>
      <c r="J26" s="3">
        <f>IF(ISNUMBER(I26), IFERROR(I26/E26, 0), "Przeciążenie")</f>
        <v>0.33571590696658277</v>
      </c>
    </row>
    <row r="27" spans="1:10">
      <c r="A27" s="2">
        <v>23</v>
      </c>
      <c r="B27" s="2">
        <v>45</v>
      </c>
      <c r="C27" s="2">
        <v>65</v>
      </c>
      <c r="D27" s="3">
        <f>SUM($B$5:B27)/60</f>
        <v>13.016666666666667</v>
      </c>
      <c r="E27" s="3">
        <f>IFERROR(60/AVERAGE($B$5:B27), 0)</f>
        <v>1.7669654289372598</v>
      </c>
      <c r="F27" s="3">
        <f>IFERROR(60/AVERAGE($C$5:C27), 0)</f>
        <v>0.96842105263157896</v>
      </c>
      <c r="G27" s="3">
        <f>IFERROR(E27/F27, 0)</f>
        <v>1.8245838668373879</v>
      </c>
      <c r="H27" s="3">
        <f>IF(G27&lt;3, 1/(1 + G27 + (G27^2)/2 + (G27^3)/(6*(1-(G27/3)))), "Przeciążenie")</f>
        <v>0.14138267937055585</v>
      </c>
      <c r="I27" s="3">
        <f>IF(G27&lt;3, (H27*(G27^4))/(18*(1-(G27/3))^2), "Przeciążenie")</f>
        <v>0.56707204630367014</v>
      </c>
      <c r="J27" s="3">
        <f>IF(ISNUMBER(I27), IFERROR(I27/E27, 0), "Przeciążenie")</f>
        <v>0.32092990446606262</v>
      </c>
    </row>
    <row r="28" spans="1:10">
      <c r="A28" s="2">
        <v>24</v>
      </c>
      <c r="B28" s="2">
        <v>45</v>
      </c>
      <c r="C28" s="2">
        <v>62</v>
      </c>
      <c r="D28" s="3">
        <f>SUM($B$5:B28)/60</f>
        <v>13.766666666666667</v>
      </c>
      <c r="E28" s="3">
        <f>IFERROR(60/AVERAGE($B$5:B28), 0)</f>
        <v>1.7433414043583537</v>
      </c>
      <c r="F28" s="3">
        <f>IFERROR(60/AVERAGE($C$5:C28), 0)</f>
        <v>0.96839273705447204</v>
      </c>
      <c r="G28" s="3">
        <f>IFERROR(E28/F28, 0)</f>
        <v>1.8002421307506056</v>
      </c>
      <c r="H28" s="3">
        <f>IF(G28&lt;3, 1/(1 + G28 + (G28^2)/2 + (G28^3)/(6*(1-(G28/3)))), "Przeciążenie")</f>
        <v>0.14593960905066403</v>
      </c>
      <c r="I28" s="3">
        <f>IF(G28&lt;3, (H28*(G28^4))/(18*(1-(G28/3))^2), "Przeciążenie")</f>
        <v>0.53245100772389953</v>
      </c>
      <c r="J28" s="3">
        <f>IF(ISNUMBER(I28), IFERROR(I28/E28, 0), "Przeciążenie")</f>
        <v>0.30541981415273678</v>
      </c>
    </row>
    <row r="29" spans="1:10">
      <c r="A29" s="2">
        <v>25</v>
      </c>
      <c r="B29" s="2">
        <v>50</v>
      </c>
      <c r="C29" s="2">
        <v>60</v>
      </c>
      <c r="D29" s="3">
        <f>SUM($B$5:B29)/60</f>
        <v>14.6</v>
      </c>
      <c r="E29" s="3">
        <f>IFERROR(60/AVERAGE($B$5:B29), 0)</f>
        <v>1.7123287671232876</v>
      </c>
      <c r="F29" s="3">
        <f>IFERROR(60/AVERAGE($C$5:C29), 0)</f>
        <v>0.9696186166774402</v>
      </c>
      <c r="G29" s="3">
        <f>IFERROR(E29/F29, 0)</f>
        <v>1.7659817351598173</v>
      </c>
      <c r="H29" s="3">
        <f>IF(G29&lt;3, 1/(1 + G29 + (G29^2)/2 + (G29^3)/(6*(1-(G29/3)))), "Przeciążenie")</f>
        <v>0.1525115691520309</v>
      </c>
      <c r="I29" s="3">
        <f>IF(G29&lt;3, (H29*(G29^4))/(18*(1-(G29/3))^2), "Przeciążenie")</f>
        <v>0.48705101005807533</v>
      </c>
      <c r="J29" s="3">
        <f>IF(ISNUMBER(I29), IFERROR(I29/E29, 0), "Przeciążenie")</f>
        <v>0.28443778987391599</v>
      </c>
    </row>
    <row r="30" spans="1:10">
      <c r="A30" s="2">
        <v>26</v>
      </c>
      <c r="B30" s="2">
        <v>10</v>
      </c>
      <c r="C30" s="2">
        <v>40</v>
      </c>
      <c r="D30" s="3">
        <f>SUM($B$5:B30)/60</f>
        <v>14.766666666666667</v>
      </c>
      <c r="E30" s="3">
        <f>IFERROR(60/AVERAGE($B$5:B30), 0)</f>
        <v>1.7607223476297966</v>
      </c>
      <c r="F30" s="3">
        <f>IFERROR(60/AVERAGE($C$5:C30), 0)</f>
        <v>0.98298676748582225</v>
      </c>
      <c r="G30" s="3">
        <f>IFERROR(E30/F30, 0)</f>
        <v>1.7911963882618509</v>
      </c>
      <c r="H30" s="3">
        <f>IF(G30&lt;3, 1/(1 + G30 + (G30^2)/2 + (G30^3)/(6*(1-(G30/3)))), "Przeciążenie")</f>
        <v>0.14765663676907104</v>
      </c>
      <c r="I30" s="3">
        <f>IF(G30&lt;3, (H30*(G30^4))/(18*(1-(G30/3))^2), "Przeciążenie")</f>
        <v>0.52009693931105949</v>
      </c>
      <c r="J30" s="3">
        <f>IF(ISNUMBER(I30), IFERROR(I30/E30, 0), "Przeciążenie")</f>
        <v>0.29538838989076843</v>
      </c>
    </row>
    <row r="31" spans="1:10">
      <c r="A31" s="2">
        <v>27</v>
      </c>
      <c r="B31" s="2">
        <v>25</v>
      </c>
      <c r="C31" s="2">
        <v>55</v>
      </c>
      <c r="D31" s="3">
        <f>SUM($B$5:B31)/60</f>
        <v>15.183333333333334</v>
      </c>
      <c r="E31" s="3">
        <f>IFERROR(60/AVERAGE($B$5:B31), 0)</f>
        <v>1.778265642151482</v>
      </c>
      <c r="F31" s="3">
        <f>IFERROR(60/AVERAGE($C$5:C31), 0)</f>
        <v>0.98660170523751523</v>
      </c>
      <c r="G31" s="3">
        <f>IFERROR(E31/F31, 0)</f>
        <v>1.8024149286498354</v>
      </c>
      <c r="H31" s="3">
        <f>IF(G31&lt;3, 1/(1 + G31 + (G31^2)/2 + (G31^3)/(6*(1-(G31/3)))), "Przeciążenie")</f>
        <v>0.14552909561350064</v>
      </c>
      <c r="I31" s="3">
        <f>IF(G31&lt;3, (H31*(G31^4))/(18*(1-(G31/3))^2), "Przeciążenie")</f>
        <v>0.53545896079275812</v>
      </c>
      <c r="J31" s="3">
        <f>IF(ISNUMBER(I31), IFERROR(I31/E31, 0), "Przeciążenie")</f>
        <v>0.30111303289024854</v>
      </c>
    </row>
    <row r="32" spans="1:10">
      <c r="A32" s="2">
        <v>28</v>
      </c>
      <c r="B32" s="2">
        <v>25</v>
      </c>
      <c r="C32" s="2">
        <v>75</v>
      </c>
      <c r="D32" s="3">
        <f>SUM($B$5:B32)/60</f>
        <v>15.6</v>
      </c>
      <c r="E32" s="3">
        <f>IFERROR(60/AVERAGE($B$5:B32), 0)</f>
        <v>1.7948717948717947</v>
      </c>
      <c r="F32" s="3">
        <f>IFERROR(60/AVERAGE($C$5:C32), 0)</f>
        <v>0.97845078625509618</v>
      </c>
      <c r="G32" s="3">
        <f>IFERROR(E32/F32, 0)</f>
        <v>1.8344017094017091</v>
      </c>
      <c r="H32" s="3">
        <f>IF(G32&lt;3, 1/(1 + G32 + (G32^2)/2 + (G32^3)/(6*(1-(G32/3)))), "Przeciążenie")</f>
        <v>0.13957057531094039</v>
      </c>
      <c r="I32" s="3">
        <f>IF(G32&lt;3, (H32*(G32^4))/(18*(1-(G32/3))^2), "Przeciążenie")</f>
        <v>0.58162605726739181</v>
      </c>
      <c r="J32" s="3">
        <f>IF(ISNUMBER(I32), IFERROR(I32/E32, 0), "Przeciążenie")</f>
        <v>0.32404880333468977</v>
      </c>
    </row>
    <row r="33" spans="1:10">
      <c r="A33" s="2">
        <v>29</v>
      </c>
      <c r="B33" s="2">
        <v>55</v>
      </c>
      <c r="C33" s="2">
        <v>60</v>
      </c>
      <c r="D33" s="3">
        <f>SUM($B$5:B33)/60</f>
        <v>16.516666666666666</v>
      </c>
      <c r="E33" s="3">
        <f>IFERROR(60/AVERAGE($B$5:B33), 0)</f>
        <v>1.7558022199798184</v>
      </c>
      <c r="F33" s="3">
        <f>IFERROR(60/AVERAGE($C$5:C33), 0)</f>
        <v>0.97917839054586386</v>
      </c>
      <c r="G33" s="3">
        <f>IFERROR(E33/F33, 0)</f>
        <v>1.7931382441977801</v>
      </c>
      <c r="H33" s="3">
        <f>IF(G33&lt;3, 1/(1 + G33 + (G33^2)/2 + (G33^3)/(6*(1-(G33/3)))), "Przeciążenie")</f>
        <v>0.1472869522350321</v>
      </c>
      <c r="I33" s="3">
        <f>IF(G33&lt;3, (H33*(G33^4))/(18*(1-(G33/3))^2), "Przeciążenie")</f>
        <v>0.52272626564101177</v>
      </c>
      <c r="J33" s="3">
        <f>IF(ISNUMBER(I33), IFERROR(I33/E33, 0), "Przeciążenie")</f>
        <v>0.29771363750013946</v>
      </c>
    </row>
    <row r="34" spans="1:10">
      <c r="A34" s="2">
        <v>30</v>
      </c>
      <c r="B34" s="2">
        <v>55</v>
      </c>
      <c r="C34" s="2">
        <v>40</v>
      </c>
      <c r="D34" s="3">
        <f>SUM($B$5:B34)/60</f>
        <v>17.433333333333334</v>
      </c>
      <c r="E34" s="3">
        <f>IFERROR(60/AVERAGE($B$5:B34), 0)</f>
        <v>1.7208413001912046</v>
      </c>
      <c r="F34" s="3">
        <f>IFERROR(60/AVERAGE($C$5:C34), 0)</f>
        <v>0.99064391854705558</v>
      </c>
      <c r="G34" s="3">
        <f>IFERROR(E34/F34, 0)</f>
        <v>1.7370936902485661</v>
      </c>
      <c r="H34" s="3">
        <f>IF(G34&lt;3, 1/(1 + G34 + (G34^2)/2 + (G34^3)/(6*(1-(G34/3)))), "Przeciążenie")</f>
        <v>0.15820075812978468</v>
      </c>
      <c r="I34" s="3">
        <f>IF(G34&lt;3, (H34*(G34^4))/(18*(1-(G34/3))^2), "Przeciążenie")</f>
        <v>0.45157435436448007</v>
      </c>
      <c r="J34" s="3">
        <f>IF(ISNUMBER(I34), IFERROR(I34/E34, 0), "Przeciążenie")</f>
        <v>0.26241487481402564</v>
      </c>
    </row>
    <row r="35" spans="1:10">
      <c r="A35" s="2">
        <v>31</v>
      </c>
      <c r="B35" s="2">
        <v>40</v>
      </c>
      <c r="C35" s="2">
        <v>70</v>
      </c>
      <c r="D35" s="3">
        <f>SUM($B$5:B35)/60</f>
        <v>18.100000000000001</v>
      </c>
      <c r="E35" s="3">
        <f>IFERROR(60/AVERAGE($B$5:B35), 0)</f>
        <v>1.7127071823204421</v>
      </c>
      <c r="F35" s="3">
        <f>IFERROR(60/AVERAGE($C$5:C35), 0)</f>
        <v>0.98569157392686813</v>
      </c>
      <c r="G35" s="3">
        <f>IFERROR(E35/F35, 0)</f>
        <v>1.7375690607734806</v>
      </c>
      <c r="H35" s="3">
        <f>IF(G35&lt;3, 1/(1 + G35 + (G35^2)/2 + (G35^3)/(6*(1-(G35/3)))), "Przeciążenie")</f>
        <v>0.15810602299329526</v>
      </c>
      <c r="I35" s="3">
        <f>IF(G35&lt;3, (H35*(G35^4))/(18*(1-(G35/3))^2), "Przeciążenie")</f>
        <v>0.4521384690580233</v>
      </c>
      <c r="J35" s="3">
        <f>IF(ISNUMBER(I35), IFERROR(I35/E35, 0), "Przeciążenie")</f>
        <v>0.2639905254822652</v>
      </c>
    </row>
    <row r="36" spans="1:10">
      <c r="A36" s="2">
        <v>32</v>
      </c>
      <c r="B36" s="2">
        <v>50</v>
      </c>
      <c r="C36" s="2">
        <v>60</v>
      </c>
      <c r="D36" s="3">
        <f>SUM($B$5:B36)/60</f>
        <v>18.933333333333334</v>
      </c>
      <c r="E36" s="3">
        <f>IFERROR(60/AVERAGE($B$5:B36), 0)</f>
        <v>1.6901408450704225</v>
      </c>
      <c r="F36" s="3">
        <f>IFERROR(60/AVERAGE($C$5:C36), 0)</f>
        <v>0.98613251155624038</v>
      </c>
      <c r="G36" s="3">
        <f>IFERROR(E36/F36, 0)</f>
        <v>1.7139084507042253</v>
      </c>
      <c r="H36" s="3">
        <f>IF(G36&lt;3, 1/(1 + G36 + (G36^2)/2 + (G36^3)/(6*(1-(G36/3)))), "Przeciążenie")</f>
        <v>0.16286735953907558</v>
      </c>
      <c r="I36" s="3">
        <f>IF(G36&lt;3, (H36*(G36^4))/(18*(1-(G36/3))^2), "Przeciążenie")</f>
        <v>0.42482568984094987</v>
      </c>
      <c r="J36" s="3">
        <f>IF(ISNUMBER(I36), IFERROR(I36/E36, 0), "Przeciążenie")</f>
        <v>0.25135519982256199</v>
      </c>
    </row>
  </sheetData>
  <mergeCells count="1">
    <mergeCell ref="A1:J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"/>
  <sheetViews>
    <sheetView workbookViewId="0">
      <selection activeCell="E24" sqref="E24"/>
    </sheetView>
  </sheetViews>
  <sheetFormatPr defaultRowHeight="15"/>
  <cols>
    <col min="1" max="10" width="13" customWidth="1"/>
  </cols>
  <sheetData>
    <row r="1" spans="1:10">
      <c r="A1" s="4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idden="1"/>
    <row r="4" spans="1:10" ht="36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>
      <c r="A5" s="2">
        <v>1</v>
      </c>
      <c r="B5" s="2">
        <v>0</v>
      </c>
      <c r="C5" s="2">
        <v>40</v>
      </c>
      <c r="D5" s="3">
        <f>SUM($B$5:B5)/60</f>
        <v>0</v>
      </c>
      <c r="E5" s="3">
        <f>IFERROR(60/AVERAGE($B$5:B5), 0)</f>
        <v>0</v>
      </c>
      <c r="F5" s="3">
        <f>IFERROR(60/AVERAGE($C$5:C5), 0)</f>
        <v>1.5</v>
      </c>
      <c r="G5" s="3">
        <f>IFERROR(E5/F5, 0)</f>
        <v>0</v>
      </c>
      <c r="H5" s="3">
        <f>IF(G5&lt;4, 1/(1 + G5 + (G5^2)/2 + (G5^3)/6 + (G5^4)/(24*(1-(G5/4)))), "Przeciążenie")</f>
        <v>1</v>
      </c>
      <c r="I5" s="3">
        <f>IF(G5&lt;4, (H5*(G5^5))/(96*(1-(G5/4))^2), "Przeciążenie")</f>
        <v>0</v>
      </c>
      <c r="J5" s="3">
        <f>IF(ISNUMBER(I5), IFERROR(I5/E5, 0), "Przeciążenie")</f>
        <v>0</v>
      </c>
    </row>
    <row r="6" spans="1:10">
      <c r="A6" s="2">
        <v>2</v>
      </c>
      <c r="B6" s="2">
        <v>6</v>
      </c>
      <c r="C6" s="2">
        <v>60</v>
      </c>
      <c r="D6" s="3">
        <f>SUM($B$5:B6)/60</f>
        <v>0.1</v>
      </c>
      <c r="E6" s="3">
        <f>IFERROR(60/AVERAGE($B$5:B6), 0)</f>
        <v>20</v>
      </c>
      <c r="F6" s="3">
        <f>IFERROR(60/AVERAGE($C$5:C6), 0)</f>
        <v>1.2</v>
      </c>
      <c r="G6" s="3">
        <f>IFERROR(E6/F6, 0)</f>
        <v>16.666666666666668</v>
      </c>
      <c r="H6" s="3" t="str">
        <f>IF(G6&lt;4, 1/(1 + G6 + (G6^2)/2 + (G6^3)/6 + (G6^4)/(24*(1-(G6/4)))), "Przeciążenie")</f>
        <v>Przeciążenie</v>
      </c>
      <c r="I6" s="3" t="str">
        <f>IF(G6&lt;4, (H6*(G6^5))/(96*(1-(G6/4))^2), "Przeciążenie")</f>
        <v>Przeciążenie</v>
      </c>
      <c r="J6" s="3" t="str">
        <f>IF(ISNUMBER(I6), IFERROR(I6/E6, 0), "Przeciążenie")</f>
        <v>Przeciążenie</v>
      </c>
    </row>
    <row r="7" spans="1:10">
      <c r="A7" s="2">
        <v>3</v>
      </c>
      <c r="B7" s="2">
        <v>40</v>
      </c>
      <c r="C7" s="2">
        <v>65</v>
      </c>
      <c r="D7" s="3">
        <f>SUM($B$5:B7)/60</f>
        <v>0.76666666666666672</v>
      </c>
      <c r="E7" s="3">
        <f>IFERROR(60/AVERAGE($B$5:B7), 0)</f>
        <v>3.9130434782608696</v>
      </c>
      <c r="F7" s="3">
        <f>IFERROR(60/AVERAGE($C$5:C7), 0)</f>
        <v>1.0909090909090908</v>
      </c>
      <c r="G7" s="3">
        <f>IFERROR(E7/F7, 0)</f>
        <v>3.5869565217391308</v>
      </c>
      <c r="H7" s="3">
        <f>IF(G7&lt;4, 1/(1 + G7 + (G7^2)/2 + (G7^3)/6 + (G7^4)/(24*(1-(G7/4)))), "Przeciążenie")</f>
        <v>1.1694683360863028E-2</v>
      </c>
      <c r="I7" s="3">
        <f>IF(G7&lt;4, (H7*(G7^5))/(96*(1-(G7/4))^2), "Przeciążenie")</f>
        <v>6.7838500747686199</v>
      </c>
      <c r="J7" s="3">
        <f>IF(ISNUMBER(I7), IFERROR(I7/E7, 0), "Przeciążenie")</f>
        <v>1.7336505746630917</v>
      </c>
    </row>
    <row r="8" spans="1:10">
      <c r="A8" s="2">
        <v>4</v>
      </c>
      <c r="B8" s="2">
        <v>30</v>
      </c>
      <c r="C8" s="2">
        <v>60</v>
      </c>
      <c r="D8" s="3">
        <f>SUM($B$5:B8)/60</f>
        <v>1.2666666666666666</v>
      </c>
      <c r="E8" s="3">
        <f>IFERROR(60/AVERAGE($B$5:B8), 0)</f>
        <v>3.1578947368421053</v>
      </c>
      <c r="F8" s="3">
        <f>IFERROR(60/AVERAGE($C$5:C8), 0)</f>
        <v>1.0666666666666667</v>
      </c>
      <c r="G8" s="3">
        <f>IFERROR(E8/F8, 0)</f>
        <v>2.9605263157894739</v>
      </c>
      <c r="H8" s="3">
        <f>IF(G8&lt;4, 1/(1 + G8 + (G8^2)/2 + (G8^3)/6 + (G8^4)/(24*(1-(G8/4)))), "Przeciążenie")</f>
        <v>4.0024414415627395E-2</v>
      </c>
      <c r="I8" s="3">
        <f>IF(G8&lt;4, (H8*(G8^5))/(96*(1-(G8/4))^2), "Przeciążenie")</f>
        <v>1.4040784292454245</v>
      </c>
      <c r="J8" s="3">
        <f>IF(ISNUMBER(I8), IFERROR(I8/E8, 0), "Przeciążenie")</f>
        <v>0.44462483592771773</v>
      </c>
    </row>
    <row r="9" spans="1:10">
      <c r="A9" s="2">
        <v>5</v>
      </c>
      <c r="B9" s="2">
        <v>50</v>
      </c>
      <c r="C9" s="2">
        <v>40</v>
      </c>
      <c r="D9" s="3">
        <f>SUM($B$5:B9)/60</f>
        <v>2.1</v>
      </c>
      <c r="E9" s="3">
        <f>IFERROR(60/AVERAGE($B$5:B9), 0)</f>
        <v>2.3809523809523809</v>
      </c>
      <c r="F9" s="3">
        <f>IFERROR(60/AVERAGE($C$5:C9), 0)</f>
        <v>1.1320754716981132</v>
      </c>
      <c r="G9" s="3">
        <f>IFERROR(E9/F9, 0)</f>
        <v>2.1031746031746033</v>
      </c>
      <c r="H9" s="3">
        <f>IF(G9&lt;4, 1/(1 + G9 + (G9^2)/2 + (G9^3)/6 + (G9^4)/(24*(1-(G9/4)))), "Przeciążenie")</f>
        <v>0.11648844724697824</v>
      </c>
      <c r="I9" s="3">
        <f>IF(G9&lt;4, (H9*(G9^5))/(96*(1-(G9/4))^2), "Przeciążenie")</f>
        <v>0.222051411592781</v>
      </c>
      <c r="J9" s="3">
        <f>IF(ISNUMBER(I9), IFERROR(I9/E9, 0), "Przeciążenie")</f>
        <v>9.3261592868968013E-2</v>
      </c>
    </row>
    <row r="10" spans="1:10">
      <c r="A10" s="2">
        <v>6</v>
      </c>
      <c r="B10" s="2">
        <v>30</v>
      </c>
      <c r="C10" s="2">
        <v>55</v>
      </c>
      <c r="D10" s="3">
        <f>SUM($B$5:B10)/60</f>
        <v>2.6</v>
      </c>
      <c r="E10" s="3">
        <f>IFERROR(60/AVERAGE($B$5:B10), 0)</f>
        <v>2.3076923076923075</v>
      </c>
      <c r="F10" s="3">
        <f>IFERROR(60/AVERAGE($C$5:C10), 0)</f>
        <v>1.125</v>
      </c>
      <c r="G10" s="3">
        <f>IFERROR(E10/F10, 0)</f>
        <v>2.0512820512820511</v>
      </c>
      <c r="H10" s="3">
        <f>IF(G10&lt;4, 1/(1 + G10 + (G10^2)/2 + (G10^3)/6 + (G10^4)/(24*(1-(G10/4)))), "Przeciążenie")</f>
        <v>0.12333537713906087</v>
      </c>
      <c r="I10" s="3">
        <f>IF(G10&lt;4, (H10*(G10^5))/(96*(1-(G10/4))^2), "Przeciążenie")</f>
        <v>0.19659177554812873</v>
      </c>
      <c r="J10" s="3">
        <f>IF(ISNUMBER(I10), IFERROR(I10/E10, 0), "Przeciążenie")</f>
        <v>8.5189769404189125E-2</v>
      </c>
    </row>
    <row r="11" spans="1:10">
      <c r="A11" s="2">
        <v>7</v>
      </c>
      <c r="B11" s="2">
        <v>25</v>
      </c>
      <c r="C11" s="2">
        <v>65</v>
      </c>
      <c r="D11" s="3">
        <f>SUM($B$5:B11)/60</f>
        <v>3.0166666666666666</v>
      </c>
      <c r="E11" s="3">
        <f>IFERROR(60/AVERAGE($B$5:B11), 0)</f>
        <v>2.3204419889502761</v>
      </c>
      <c r="F11" s="3">
        <f>IFERROR(60/AVERAGE($C$5:C11), 0)</f>
        <v>1.0909090909090908</v>
      </c>
      <c r="G11" s="3">
        <f>IFERROR(E11/F11, 0)</f>
        <v>2.1270718232044201</v>
      </c>
      <c r="H11" s="3">
        <f>IF(G11&lt;4, 1/(1 + G11 + (G11^2)/2 + (G11^3)/6 + (G11^4)/(24*(1-(G11/4)))), "Przeciążenie")</f>
        <v>0.11344468292664456</v>
      </c>
      <c r="I11" s="3">
        <f>IF(G11&lt;4, (H11*(G11^5))/(96*(1-(G11/4))^2), "Przeciążenie")</f>
        <v>0.23469369459119477</v>
      </c>
      <c r="J11" s="3">
        <f>IF(ISNUMBER(I11), IFERROR(I11/E11, 0), "Przeciążenie")</f>
        <v>0.10114180647858632</v>
      </c>
    </row>
    <row r="12" spans="1:10">
      <c r="A12" s="2">
        <v>8</v>
      </c>
      <c r="B12" s="2">
        <v>5</v>
      </c>
      <c r="C12" s="2">
        <v>60</v>
      </c>
      <c r="D12" s="3">
        <f>SUM($B$5:B12)/60</f>
        <v>3.1</v>
      </c>
      <c r="E12" s="3">
        <f>IFERROR(60/AVERAGE($B$5:B12), 0)</f>
        <v>2.5806451612903225</v>
      </c>
      <c r="F12" s="3">
        <f>IFERROR(60/AVERAGE($C$5:C12), 0)</f>
        <v>1.0786516853932584</v>
      </c>
      <c r="G12" s="3">
        <f>IFERROR(E12/F12, 0)</f>
        <v>2.39247311827957</v>
      </c>
      <c r="H12" s="3">
        <f>IF(G12&lt;4, 1/(1 + G12 + (G12^2)/2 + (G12^3)/6 + (G12^4)/(24*(1-(G12/4)))), "Przeciążenie")</f>
        <v>8.37963344819454E-2</v>
      </c>
      <c r="I12" s="3">
        <f>IF(G12&lt;4, (H12*(G12^5))/(96*(1-(G12/4))^2), "Przeciążenie")</f>
        <v>0.423635764033165</v>
      </c>
      <c r="J12" s="3">
        <f>IF(ISNUMBER(I12), IFERROR(I12/E12, 0), "Przeciążenie")</f>
        <v>0.16415885856285145</v>
      </c>
    </row>
    <row r="13" spans="1:10">
      <c r="A13" s="2">
        <v>9</v>
      </c>
      <c r="B13" s="2">
        <v>15</v>
      </c>
      <c r="C13" s="2">
        <v>60</v>
      </c>
      <c r="D13" s="3">
        <f>SUM($B$5:B13)/60</f>
        <v>3.35</v>
      </c>
      <c r="E13" s="3">
        <f>IFERROR(60/AVERAGE($B$5:B13), 0)</f>
        <v>2.6865671641791047</v>
      </c>
      <c r="F13" s="3">
        <f>IFERROR(60/AVERAGE($C$5:C13), 0)</f>
        <v>1.0693069306930691</v>
      </c>
      <c r="G13" s="3">
        <f>IFERROR(E13/F13, 0)</f>
        <v>2.5124378109452743</v>
      </c>
      <c r="H13" s="3">
        <f>IF(G13&lt;4, 1/(1 + G13 + (G13^2)/2 + (G13^3)/6 + (G13^4)/(24*(1-(G13/4)))), "Przeciążenie")</f>
        <v>7.2589200482050351E-2</v>
      </c>
      <c r="I13" s="3">
        <f>IF(G13&lt;4, (H13*(G13^5))/(96*(1-(G13/4))^2), "Przeciążenie")</f>
        <v>0.54732729185807016</v>
      </c>
      <c r="J13" s="3">
        <f>IF(ISNUMBER(I13), IFERROR(I13/E13, 0), "Przeciążenie")</f>
        <v>0.20372738085828165</v>
      </c>
    </row>
    <row r="14" spans="1:10">
      <c r="A14" s="2">
        <v>10</v>
      </c>
      <c r="B14" s="2">
        <v>15</v>
      </c>
      <c r="C14" s="2">
        <v>70</v>
      </c>
      <c r="D14" s="3">
        <f>SUM($B$5:B14)/60</f>
        <v>3.6</v>
      </c>
      <c r="E14" s="3">
        <f>IFERROR(60/AVERAGE($B$5:B14), 0)</f>
        <v>2.7777777777777777</v>
      </c>
      <c r="F14" s="3">
        <f>IFERROR(60/AVERAGE($C$5:C14), 0)</f>
        <v>1.0434782608695652</v>
      </c>
      <c r="G14" s="3">
        <f>IFERROR(E14/F14, 0)</f>
        <v>2.6620370370370372</v>
      </c>
      <c r="H14" s="3">
        <f>IF(G14&lt;4, 1/(1 + G14 + (G14^2)/2 + (G14^3)/6 + (G14^4)/(24*(1-(G14/4)))), "Przeciążenie")</f>
        <v>6.0223532540010997E-2</v>
      </c>
      <c r="I14" s="3">
        <f>IF(G14&lt;4, (H14*(G14^5))/(96*(1-(G14/4))^2), "Przeciążenie")</f>
        <v>0.74954422169200352</v>
      </c>
      <c r="J14" s="3">
        <f>IF(ISNUMBER(I14), IFERROR(I14/E14, 0), "Przeciążenie")</f>
        <v>0.26983591980912125</v>
      </c>
    </row>
    <row r="15" spans="1:10">
      <c r="A15" s="2">
        <v>11</v>
      </c>
      <c r="B15" s="2">
        <v>10</v>
      </c>
      <c r="C15" s="2">
        <v>65</v>
      </c>
      <c r="D15" s="3">
        <f>SUM($B$5:B15)/60</f>
        <v>3.7666666666666666</v>
      </c>
      <c r="E15" s="3">
        <f>IFERROR(60/AVERAGE($B$5:B15), 0)</f>
        <v>2.9203539823008846</v>
      </c>
      <c r="F15" s="3">
        <f>IFERROR(60/AVERAGE($C$5:C15), 0)</f>
        <v>1.03125</v>
      </c>
      <c r="G15" s="3">
        <f>IFERROR(E15/F15, 0)</f>
        <v>2.8318584070796455</v>
      </c>
      <c r="H15" s="3">
        <f>IF(G15&lt;4, 1/(1 + G15 + (G15^2)/2 + (G15^3)/6 + (G15^4)/(24*(1-(G15/4)))), "Przeciążenie")</f>
        <v>4.8071719527846252E-2</v>
      </c>
      <c r="I15" s="3">
        <f>IF(G15&lt;4, (H15*(G15^5))/(96*(1-(G15/4))^2), "Przeciążenie")</f>
        <v>1.0693136371530032</v>
      </c>
      <c r="J15" s="3">
        <f>IF(ISNUMBER(I15), IFERROR(I15/E15, 0), "Przeciążenie")</f>
        <v>0.36615891211602841</v>
      </c>
    </row>
    <row r="16" spans="1:10">
      <c r="A16" s="2">
        <v>12</v>
      </c>
      <c r="B16" s="2">
        <v>30</v>
      </c>
      <c r="C16" s="2">
        <v>70</v>
      </c>
      <c r="D16" s="3">
        <f>SUM($B$5:B16)/60</f>
        <v>4.2666666666666666</v>
      </c>
      <c r="E16" s="3">
        <f>IFERROR(60/AVERAGE($B$5:B16), 0)</f>
        <v>2.8125</v>
      </c>
      <c r="F16" s="3">
        <f>IFERROR(60/AVERAGE($C$5:C16), 0)</f>
        <v>1.0140845070422535</v>
      </c>
      <c r="G16" s="3">
        <f>IFERROR(E16/F16, 0)</f>
        <v>2.7734375</v>
      </c>
      <c r="H16" s="3">
        <f>IF(G16&lt;4, 1/(1 + G16 + (G16^2)/2 + (G16^3)/6 + (G16^4)/(24*(1-(G16/4)))), "Przeciążenie")</f>
        <v>5.2044008830669036E-2</v>
      </c>
      <c r="I16" s="3">
        <f>IF(G16&lt;4, (H16*(G16^5))/(96*(1-(G16/4))^2), "Przeciążenie")</f>
        <v>0.94608910884460329</v>
      </c>
      <c r="J16" s="3">
        <f>IF(ISNUMBER(I16), IFERROR(I16/E16, 0), "Przeciążenie")</f>
        <v>0.3363872387003034</v>
      </c>
    </row>
    <row r="17" spans="1:10">
      <c r="A17" s="2">
        <v>13</v>
      </c>
      <c r="B17" s="2">
        <v>40</v>
      </c>
      <c r="C17" s="2">
        <v>65</v>
      </c>
      <c r="D17" s="3">
        <f>SUM($B$5:B17)/60</f>
        <v>4.9333333333333336</v>
      </c>
      <c r="E17" s="3">
        <f>IFERROR(60/AVERAGE($B$5:B17), 0)</f>
        <v>2.6351351351351351</v>
      </c>
      <c r="F17" s="3">
        <f>IFERROR(60/AVERAGE($C$5:C17), 0)</f>
        <v>1.0064516129032259</v>
      </c>
      <c r="G17" s="3">
        <f>IFERROR(E17/F17, 0)</f>
        <v>2.618243243243243</v>
      </c>
      <c r="H17" s="3">
        <f>IF(G17&lt;4, 1/(1 + G17 + (G17^2)/2 + (G17^3)/6 + (G17^4)/(24*(1-(G17/4)))), "Przeciążenie")</f>
        <v>6.3671446148937119E-2</v>
      </c>
      <c r="I17" s="3">
        <f>IF(G17&lt;4, (H17*(G17^5))/(96*(1-(G17/4))^2), "Przeciążenie")</f>
        <v>0.68388051004406158</v>
      </c>
      <c r="J17" s="3">
        <f>IF(ISNUMBER(I17), IFERROR(I17/E17, 0), "Przeciążenie")</f>
        <v>0.25952388586287467</v>
      </c>
    </row>
    <row r="18" spans="1:10">
      <c r="A18" s="2">
        <v>14</v>
      </c>
      <c r="B18" s="2">
        <v>40</v>
      </c>
      <c r="C18" s="2">
        <v>75</v>
      </c>
      <c r="D18" s="3">
        <f>SUM($B$5:B18)/60</f>
        <v>5.6</v>
      </c>
      <c r="E18" s="3">
        <f>IFERROR(60/AVERAGE($B$5:B18), 0)</f>
        <v>2.5</v>
      </c>
      <c r="F18" s="3">
        <f>IFERROR(60/AVERAGE($C$5:C18), 0)</f>
        <v>0.98823529411764699</v>
      </c>
      <c r="G18" s="3">
        <f>IFERROR(E18/F18, 0)</f>
        <v>2.5297619047619051</v>
      </c>
      <c r="H18" s="3">
        <f>IF(G18&lt;4, 1/(1 + G18 + (G18^2)/2 + (G18^3)/6 + (G18^4)/(24*(1-(G18/4)))), "Przeciążenie")</f>
        <v>7.1069717456521853E-2</v>
      </c>
      <c r="I18" s="3">
        <f>IF(G18&lt;4, (H18*(G18^5))/(96*(1-(G18/4))^2), "Przeciążenie")</f>
        <v>0.56774881579254133</v>
      </c>
      <c r="J18" s="3">
        <f>IF(ISNUMBER(I18), IFERROR(I18/E18, 0), "Przeciążenie")</f>
        <v>0.22709952631701652</v>
      </c>
    </row>
    <row r="19" spans="1:10">
      <c r="A19" s="2">
        <v>15</v>
      </c>
      <c r="B19" s="2">
        <v>40</v>
      </c>
      <c r="C19" s="2">
        <v>60</v>
      </c>
      <c r="D19" s="3">
        <f>SUM($B$5:B19)/60</f>
        <v>6.2666666666666666</v>
      </c>
      <c r="E19" s="3">
        <f>IFERROR(60/AVERAGE($B$5:B19), 0)</f>
        <v>2.3936170212765959</v>
      </c>
      <c r="F19" s="3">
        <f>IFERROR(60/AVERAGE($C$5:C19), 0)</f>
        <v>0.98901098901098905</v>
      </c>
      <c r="G19" s="3">
        <f>IFERROR(E19/F19, 0)</f>
        <v>2.4202127659574471</v>
      </c>
      <c r="H19" s="3">
        <f>IF(G19&lt;4, 1/(1 + G19 + (G19^2)/2 + (G19^3)/6 + (G19^4)/(24*(1-(G19/4)))), "Przeciążenie")</f>
        <v>8.1094691230441149E-2</v>
      </c>
      <c r="I19" s="3">
        <f>IF(G19&lt;4, (H19*(G19^5))/(96*(1-(G19/4))^2), "Przeciążenie")</f>
        <v>0.4496884271567041</v>
      </c>
      <c r="J19" s="3">
        <f>IF(ISNUMBER(I19), IFERROR(I19/E19, 0), "Przeciążenie")</f>
        <v>0.18786983178991193</v>
      </c>
    </row>
    <row r="20" spans="1:10">
      <c r="A20" s="2">
        <v>16</v>
      </c>
      <c r="B20" s="2">
        <v>50</v>
      </c>
      <c r="C20" s="2">
        <v>50</v>
      </c>
      <c r="D20" s="3">
        <f>SUM($B$5:B20)/60</f>
        <v>7.1</v>
      </c>
      <c r="E20" s="3">
        <f>IFERROR(60/AVERAGE($B$5:B20), 0)</f>
        <v>2.2535211267605635</v>
      </c>
      <c r="F20" s="3">
        <f>IFERROR(60/AVERAGE($C$5:C20), 0)</f>
        <v>1</v>
      </c>
      <c r="G20" s="3">
        <f>IFERROR(E20/F20, 0)</f>
        <v>2.2535211267605635</v>
      </c>
      <c r="H20" s="3">
        <f>IF(G20&lt;4, 1/(1 + G20 + (G20^2)/2 + (G20^3)/6 + (G20^4)/(24*(1-(G20/4)))), "Przeciążenie")</f>
        <v>9.8413772675946989E-2</v>
      </c>
      <c r="I20" s="3">
        <f>IF(G20&lt;4, (H20*(G20^5))/(96*(1-(G20/4))^2), "Przeciążenie")</f>
        <v>0.31252598105291046</v>
      </c>
      <c r="J20" s="3">
        <f>IF(ISNUMBER(I20), IFERROR(I20/E20, 0), "Przeciążenie")</f>
        <v>0.13868340409222901</v>
      </c>
    </row>
    <row r="21" spans="1:10">
      <c r="A21" s="2">
        <v>17</v>
      </c>
      <c r="B21" s="2">
        <v>50</v>
      </c>
      <c r="C21" s="2">
        <v>65</v>
      </c>
      <c r="D21" s="3">
        <f>SUM($B$5:B21)/60</f>
        <v>7.9333333333333336</v>
      </c>
      <c r="E21" s="3">
        <f>IFERROR(60/AVERAGE($B$5:B21), 0)</f>
        <v>2.1428571428571428</v>
      </c>
      <c r="F21" s="3">
        <f>IFERROR(60/AVERAGE($C$5:C21), 0)</f>
        <v>0.99512195121951219</v>
      </c>
      <c r="G21" s="3">
        <f>IFERROR(E21/F21, 0)</f>
        <v>2.153361344537815</v>
      </c>
      <c r="H21" s="3">
        <f>IF(G21&lt;4, 1/(1 + G21 + (G21^2)/2 + (G21^3)/6 + (G21^4)/(24*(1-(G21/4)))), "Przeciążenie")</f>
        <v>0.11017324476671994</v>
      </c>
      <c r="I21" s="3">
        <f>IF(G21&lt;4, (H21*(G21^5))/(96*(1-(G21/4))^2), "Przeciążenie")</f>
        <v>0.24931339258634466</v>
      </c>
      <c r="J21" s="3">
        <f>IF(ISNUMBER(I21), IFERROR(I21/E21, 0), "Przeciążenie")</f>
        <v>0.11634624987362752</v>
      </c>
    </row>
    <row r="22" spans="1:10">
      <c r="A22" s="2">
        <v>18</v>
      </c>
      <c r="B22" s="2">
        <v>55</v>
      </c>
      <c r="C22" s="2">
        <v>65</v>
      </c>
      <c r="D22" s="3">
        <f>SUM($B$5:B22)/60</f>
        <v>8.85</v>
      </c>
      <c r="E22" s="3">
        <f>IFERROR(60/AVERAGE($B$5:B22), 0)</f>
        <v>2.0338983050847457</v>
      </c>
      <c r="F22" s="3">
        <f>IFERROR(60/AVERAGE($C$5:C22), 0)</f>
        <v>0.99082568807339444</v>
      </c>
      <c r="G22" s="3">
        <f>IFERROR(E22/F22, 0)</f>
        <v>2.0527306967984935</v>
      </c>
      <c r="H22" s="3">
        <f>IF(G22&lt;4, 1/(1 + G22 + (G22^2)/2 + (G22^3)/6 + (G22^4)/(24*(1-(G22/4)))), "Przeciążenie")</f>
        <v>0.12313971653011384</v>
      </c>
      <c r="I22" s="3">
        <f>IF(G22&lt;4, (H22*(G22^5))/(96*(1-(G22/4))^2), "Przeciążenie")</f>
        <v>0.19726713994837522</v>
      </c>
      <c r="J22" s="3">
        <f>IF(ISNUMBER(I22), IFERROR(I22/E22, 0), "Przeciążenie")</f>
        <v>9.698967714128448E-2</v>
      </c>
    </row>
    <row r="23" spans="1:10">
      <c r="A23" s="2">
        <v>19</v>
      </c>
      <c r="B23" s="2">
        <v>45</v>
      </c>
      <c r="C23" s="2">
        <v>65</v>
      </c>
      <c r="D23" s="3">
        <f>SUM($B$5:B23)/60</f>
        <v>9.6</v>
      </c>
      <c r="E23" s="3">
        <f>IFERROR(60/AVERAGE($B$5:B23), 0)</f>
        <v>1.9791666666666667</v>
      </c>
      <c r="F23" s="3">
        <f>IFERROR(60/AVERAGE($C$5:C23), 0)</f>
        <v>0.98701298701298701</v>
      </c>
      <c r="G23" s="3">
        <f>IFERROR(E23/F23, 0)</f>
        <v>2.0052083333333335</v>
      </c>
      <c r="H23" s="3">
        <f>IF(G23&lt;4, 1/(1 + G23 + (G23^2)/2 + (G23^3)/6 + (G23^4)/(24*(1-(G23/4)))), "Przeciążenie")</f>
        <v>0.12969815387442687</v>
      </c>
      <c r="I23" s="3">
        <f>IF(G23&lt;4, (H23*(G23^5))/(96*(1-(G23/4))^2), "Przeciążenie")</f>
        <v>0.1761103813432171</v>
      </c>
      <c r="J23" s="3">
        <f>IF(ISNUMBER(I23), IFERROR(I23/E23, 0), "Przeciążenie")</f>
        <v>8.8982087415520217E-2</v>
      </c>
    </row>
    <row r="24" spans="1:10">
      <c r="A24" s="2">
        <v>20</v>
      </c>
      <c r="B24" s="2">
        <v>55</v>
      </c>
      <c r="C24" s="2">
        <v>75</v>
      </c>
      <c r="D24" s="3">
        <f>SUM($B$5:B24)/60</f>
        <v>10.516666666666667</v>
      </c>
      <c r="E24" s="3">
        <f>IFERROR(60/AVERAGE($B$5:B24), 0)</f>
        <v>1.9017432646592709</v>
      </c>
      <c r="F24" s="3">
        <f>IFERROR(60/AVERAGE($C$5:C24), 0)</f>
        <v>0.97560975609756095</v>
      </c>
      <c r="G24" s="3">
        <f>IFERROR(E24/F24, 0)</f>
        <v>1.9492868462757527</v>
      </c>
      <c r="H24" s="3">
        <f>IF(G24&lt;4, 1/(1 + G24 + (G24^2)/2 + (G24^3)/6 + (G24^4)/(24*(1-(G24/4)))), "Przeciążenie")</f>
        <v>0.13779788163343165</v>
      </c>
      <c r="I24" s="3">
        <f>IF(G24&lt;4, (H24*(G24^5))/(96*(1-(G24/4))^2), "Przeciążenie")</f>
        <v>0.15369516928707155</v>
      </c>
      <c r="J24" s="3">
        <f>IF(ISNUMBER(I24), IFERROR(I24/E24, 0), "Przeciążenie")</f>
        <v>8.0818043183451801E-2</v>
      </c>
    </row>
    <row r="25" spans="1:10">
      <c r="A25" s="2">
        <v>21</v>
      </c>
      <c r="B25" s="2">
        <v>55</v>
      </c>
      <c r="C25" s="2">
        <v>70</v>
      </c>
      <c r="D25" s="3">
        <f>SUM($B$5:B25)/60</f>
        <v>11.433333333333334</v>
      </c>
      <c r="E25" s="3">
        <f>IFERROR(60/AVERAGE($B$5:B25), 0)</f>
        <v>1.8367346938775511</v>
      </c>
      <c r="F25" s="3">
        <f>IFERROR(60/AVERAGE($C$5:C25), 0)</f>
        <v>0.96923076923076923</v>
      </c>
      <c r="G25" s="3">
        <f>IFERROR(E25/F25, 0)</f>
        <v>1.8950437317784257</v>
      </c>
      <c r="H25" s="3">
        <f>IF(G25&lt;4, 1/(1 + G25 + (G25^2)/2 + (G25^3)/6 + (G25^4)/(24*(1-(G25/4)))), "Przeciążenie")</f>
        <v>0.14607034094118126</v>
      </c>
      <c r="I25" s="3">
        <f>IF(G25&lt;4, (H25*(G25^5))/(96*(1-(G25/4))^2), "Przeciążenie")</f>
        <v>0.13428293361760049</v>
      </c>
      <c r="J25" s="3">
        <f>IF(ISNUMBER(I25), IFERROR(I25/E25, 0), "Przeciążenie")</f>
        <v>7.3109597191804709E-2</v>
      </c>
    </row>
    <row r="26" spans="1:10">
      <c r="A26" s="2">
        <v>22</v>
      </c>
      <c r="B26" s="2">
        <v>50</v>
      </c>
      <c r="C26" s="2">
        <v>60</v>
      </c>
      <c r="D26" s="3">
        <f>SUM($B$5:B26)/60</f>
        <v>12.266666666666667</v>
      </c>
      <c r="E26" s="3">
        <f>IFERROR(60/AVERAGE($B$5:B26), 0)</f>
        <v>1.7934782608695652</v>
      </c>
      <c r="F26" s="3">
        <f>IFERROR(60/AVERAGE($C$5:C26), 0)</f>
        <v>0.97058823529411764</v>
      </c>
      <c r="G26" s="3">
        <f>IFERROR(E26/F26, 0)</f>
        <v>1.8478260869565217</v>
      </c>
      <c r="H26" s="3">
        <f>IF(G26&lt;4, 1/(1 + G26 + (G26^2)/2 + (G26^3)/6 + (G26^4)/(24*(1-(G26/4)))), "Przeciążenie")</f>
        <v>0.1536225234420576</v>
      </c>
      <c r="I26" s="3">
        <f>IF(G26&lt;4, (H26*(G26^5))/(96*(1-(G26/4))^2), "Przeciążenie")</f>
        <v>0.11908426722436034</v>
      </c>
      <c r="J26" s="3">
        <f>IF(ISNUMBER(I26), IFERROR(I26/E26, 0), "Przeciążenie")</f>
        <v>6.6398500512976674E-2</v>
      </c>
    </row>
    <row r="27" spans="1:10">
      <c r="A27" s="2">
        <v>23</v>
      </c>
      <c r="B27" s="2">
        <v>45</v>
      </c>
      <c r="C27" s="2">
        <v>65</v>
      </c>
      <c r="D27" s="3">
        <f>SUM($B$5:B27)/60</f>
        <v>13.016666666666667</v>
      </c>
      <c r="E27" s="3">
        <f>IFERROR(60/AVERAGE($B$5:B27), 0)</f>
        <v>1.7669654289372598</v>
      </c>
      <c r="F27" s="3">
        <f>IFERROR(60/AVERAGE($C$5:C27), 0)</f>
        <v>0.96842105263157896</v>
      </c>
      <c r="G27" s="3">
        <f>IFERROR(E27/F27, 0)</f>
        <v>1.8245838668373879</v>
      </c>
      <c r="H27" s="3">
        <f>IF(G27&lt;4, 1/(1 + G27 + (G27^2)/2 + (G27^3)/6 + (G27^4)/(24*(1-(G27/4)))), "Przeciążenie")</f>
        <v>0.15746506632720994</v>
      </c>
      <c r="I27" s="3">
        <f>IF(G27&lt;4, (H27*(G27^5))/(96*(1-(G27/4))^2), "Przeciążenie")</f>
        <v>0.11214177668110352</v>
      </c>
      <c r="J27" s="3">
        <f>IF(ISNUMBER(I27), IFERROR(I27/E27, 0), "Przeciążenie")</f>
        <v>6.3465744628943374E-2</v>
      </c>
    </row>
    <row r="28" spans="1:10">
      <c r="A28" s="2">
        <v>24</v>
      </c>
      <c r="B28" s="2">
        <v>45</v>
      </c>
      <c r="C28" s="2">
        <v>62</v>
      </c>
      <c r="D28" s="3">
        <f>SUM($B$5:B28)/60</f>
        <v>13.766666666666667</v>
      </c>
      <c r="E28" s="3">
        <f>IFERROR(60/AVERAGE($B$5:B28), 0)</f>
        <v>1.7433414043583537</v>
      </c>
      <c r="F28" s="3">
        <f>IFERROR(60/AVERAGE($C$5:C28), 0)</f>
        <v>0.96839273705447204</v>
      </c>
      <c r="G28" s="3">
        <f>IFERROR(E28/F28, 0)</f>
        <v>1.8002421307506056</v>
      </c>
      <c r="H28" s="3">
        <f>IF(G28&lt;4, 1/(1 + G28 + (G28^2)/2 + (G28^3)/6 + (G28^4)/(24*(1-(G28/4)))), "Przeciążenie")</f>
        <v>0.16158068284092242</v>
      </c>
      <c r="I28" s="3">
        <f>IF(G28&lt;4, (H28*(G28^5))/(96*(1-(G28/4))^2), "Przeciążenie")</f>
        <v>0.10523083942633464</v>
      </c>
      <c r="J28" s="3">
        <f>IF(ISNUMBER(I28), IFERROR(I28/E28, 0), "Przeciążenie")</f>
        <v>6.0361578726494725E-2</v>
      </c>
    </row>
    <row r="29" spans="1:10">
      <c r="A29" s="2">
        <v>25</v>
      </c>
      <c r="B29" s="2">
        <v>50</v>
      </c>
      <c r="C29" s="2">
        <v>60</v>
      </c>
      <c r="D29" s="3">
        <f>SUM($B$5:B29)/60</f>
        <v>14.6</v>
      </c>
      <c r="E29" s="3">
        <f>IFERROR(60/AVERAGE($B$5:B29), 0)</f>
        <v>1.7123287671232876</v>
      </c>
      <c r="F29" s="3">
        <f>IFERROR(60/AVERAGE($C$5:C29), 0)</f>
        <v>0.9696186166774402</v>
      </c>
      <c r="G29" s="3">
        <f>IFERROR(E29/F29, 0)</f>
        <v>1.7659817351598173</v>
      </c>
      <c r="H29" s="3">
        <f>IF(G29&lt;4, 1/(1 + G29 + (G29^2)/2 + (G29^3)/6 + (G29^4)/(24*(1-(G29/4)))), "Przeciążenie")</f>
        <v>0.1675359306450038</v>
      </c>
      <c r="I29" s="3">
        <f>IF(G29&lt;4, (H29*(G29^5))/(96*(1-(G29/4))^2), "Przeciążenie")</f>
        <v>9.6097991495818311E-2</v>
      </c>
      <c r="J29" s="3">
        <f>IF(ISNUMBER(I29), IFERROR(I29/E29, 0), "Przeciążenie")</f>
        <v>5.6121227033557895E-2</v>
      </c>
    </row>
    <row r="30" spans="1:10">
      <c r="A30" s="2">
        <v>26</v>
      </c>
      <c r="B30" s="2">
        <v>10</v>
      </c>
      <c r="C30" s="2">
        <v>40</v>
      </c>
      <c r="D30" s="3">
        <f>SUM($B$5:B30)/60</f>
        <v>14.766666666666667</v>
      </c>
      <c r="E30" s="3">
        <f>IFERROR(60/AVERAGE($B$5:B30), 0)</f>
        <v>1.7607223476297966</v>
      </c>
      <c r="F30" s="3">
        <f>IFERROR(60/AVERAGE($C$5:C30), 0)</f>
        <v>0.98298676748582225</v>
      </c>
      <c r="G30" s="3">
        <f>IFERROR(E30/F30, 0)</f>
        <v>1.7911963882618509</v>
      </c>
      <c r="H30" s="3">
        <f>IF(G30&lt;4, 1/(1 + G30 + (G30^2)/2 + (G30^3)/6 + (G30^4)/(24*(1-(G30/4)))), "Przeciążenie")</f>
        <v>0.16313436218636468</v>
      </c>
      <c r="I30" s="3">
        <f>IF(G30&lt;4, (H30*(G30^5))/(96*(1-(G30/4))^2), "Przeciążenie")</f>
        <v>0.10275335613322537</v>
      </c>
      <c r="J30" s="3">
        <f>IF(ISNUMBER(I30), IFERROR(I30/E30, 0), "Przeciążenie")</f>
        <v>5.8358636880793388E-2</v>
      </c>
    </row>
    <row r="31" spans="1:10">
      <c r="A31" s="2">
        <v>27</v>
      </c>
      <c r="B31" s="2">
        <v>25</v>
      </c>
      <c r="C31" s="2">
        <v>55</v>
      </c>
      <c r="D31" s="3">
        <f>SUM($B$5:B31)/60</f>
        <v>15.183333333333334</v>
      </c>
      <c r="E31" s="3">
        <f>IFERROR(60/AVERAGE($B$5:B31), 0)</f>
        <v>1.778265642151482</v>
      </c>
      <c r="F31" s="3">
        <f>IFERROR(60/AVERAGE($C$5:C31), 0)</f>
        <v>0.98660170523751523</v>
      </c>
      <c r="G31" s="3">
        <f>IFERROR(E31/F31, 0)</f>
        <v>1.8024149286498354</v>
      </c>
      <c r="H31" s="3">
        <f>IF(G31&lt;4, 1/(1 + G31 + (G31^2)/2 + (G31^3)/6 + (G31^4)/(24*(1-(G31/4)))), "Przeciążenie")</f>
        <v>0.16120945943913764</v>
      </c>
      <c r="I31" s="3">
        <f>IF(G31&lt;4, (H31*(G31^5))/(96*(1-(G31/4))^2), "Przeciążenie")</f>
        <v>0.1058331586422302</v>
      </c>
      <c r="J31" s="3">
        <f>IF(ISNUMBER(I31), IFERROR(I31/E31, 0), "Przeciążenie")</f>
        <v>5.9514819458686238E-2</v>
      </c>
    </row>
    <row r="32" spans="1:10">
      <c r="A32" s="2">
        <v>28</v>
      </c>
      <c r="B32" s="2">
        <v>25</v>
      </c>
      <c r="C32" s="2">
        <v>75</v>
      </c>
      <c r="D32" s="3">
        <f>SUM($B$5:B32)/60</f>
        <v>15.6</v>
      </c>
      <c r="E32" s="3">
        <f>IFERROR(60/AVERAGE($B$5:B32), 0)</f>
        <v>1.7948717948717947</v>
      </c>
      <c r="F32" s="3">
        <f>IFERROR(60/AVERAGE($C$5:C32), 0)</f>
        <v>0.97845078625509618</v>
      </c>
      <c r="G32" s="3">
        <f>IFERROR(E32/F32, 0)</f>
        <v>1.8344017094017091</v>
      </c>
      <c r="H32" s="3">
        <f>IF(G32&lt;4, 1/(1 + G32 + (G32^2)/2 + (G32^3)/6 + (G32^4)/(24*(1-(G32/4)))), "Przeciążenie")</f>
        <v>0.15583165111775921</v>
      </c>
      <c r="I32" s="3">
        <f>IF(G32&lt;4, (H32*(G32^5))/(96*(1-(G32/4))^2), "Przeciążenie")</f>
        <v>0.11503257831715191</v>
      </c>
      <c r="J32" s="3">
        <f>IF(ISNUMBER(I32), IFERROR(I32/E32, 0), "Przeciążenie")</f>
        <v>6.4089579348127493E-2</v>
      </c>
    </row>
    <row r="33" spans="1:10">
      <c r="A33" s="2">
        <v>29</v>
      </c>
      <c r="B33" s="2">
        <v>55</v>
      </c>
      <c r="C33" s="2">
        <v>60</v>
      </c>
      <c r="D33" s="3">
        <f>SUM($B$5:B33)/60</f>
        <v>16.516666666666666</v>
      </c>
      <c r="E33" s="3">
        <f>IFERROR(60/AVERAGE($B$5:B33), 0)</f>
        <v>1.7558022199798184</v>
      </c>
      <c r="F33" s="3">
        <f>IFERROR(60/AVERAGE($C$5:C33), 0)</f>
        <v>0.97917839054586386</v>
      </c>
      <c r="G33" s="3">
        <f>IFERROR(E33/F33, 0)</f>
        <v>1.7931382441977801</v>
      </c>
      <c r="H33" s="3">
        <f>IF(G33&lt;4, 1/(1 + G33 + (G33^2)/2 + (G33^3)/6 + (G33^4)/(24*(1-(G33/4)))), "Przeciążenie")</f>
        <v>0.16279971318626782</v>
      </c>
      <c r="I33" s="3">
        <f>IF(G33&lt;4, (H33*(G33^5))/(96*(1-(G33/4))^2), "Przeciążenie")</f>
        <v>0.10328113324344469</v>
      </c>
      <c r="J33" s="3">
        <f>IF(ISNUMBER(I33), IFERROR(I33/E33, 0), "Przeciążenie")</f>
        <v>5.882276037026074E-2</v>
      </c>
    </row>
    <row r="34" spans="1:10">
      <c r="A34" s="2">
        <v>30</v>
      </c>
      <c r="B34" s="2">
        <v>55</v>
      </c>
      <c r="C34" s="2">
        <v>40</v>
      </c>
      <c r="D34" s="3">
        <f>SUM($B$5:B34)/60</f>
        <v>17.433333333333334</v>
      </c>
      <c r="E34" s="3">
        <f>IFERROR(60/AVERAGE($B$5:B34), 0)</f>
        <v>1.7208413001912046</v>
      </c>
      <c r="F34" s="3">
        <f>IFERROR(60/AVERAGE($C$5:C34), 0)</f>
        <v>0.99064391854705558</v>
      </c>
      <c r="G34" s="3">
        <f>IFERROR(E34/F34, 0)</f>
        <v>1.7370936902485661</v>
      </c>
      <c r="H34" s="3">
        <f>IF(G34&lt;4, 1/(1 + G34 + (G34^2)/2 + (G34^3)/6 + (G34^4)/(24*(1-(G34/4)))), "Przeciążenie")</f>
        <v>0.17270946525794015</v>
      </c>
      <c r="I34" s="3">
        <f>IF(G34&lt;4, (H34*(G34^5))/(96*(1-(G34/4))^2), "Przeciążenie")</f>
        <v>8.8909456662293454E-2</v>
      </c>
      <c r="J34" s="3">
        <f>IF(ISNUMBER(I34), IFERROR(I34/E34, 0), "Przeciążenie")</f>
        <v>5.1666273149310528E-2</v>
      </c>
    </row>
    <row r="35" spans="1:10">
      <c r="A35" s="2">
        <v>31</v>
      </c>
      <c r="B35" s="2">
        <v>40</v>
      </c>
      <c r="C35" s="2">
        <v>70</v>
      </c>
      <c r="D35" s="3">
        <f>SUM($B$5:B35)/60</f>
        <v>18.100000000000001</v>
      </c>
      <c r="E35" s="3">
        <f>IFERROR(60/AVERAGE($B$5:B35), 0)</f>
        <v>1.7127071823204421</v>
      </c>
      <c r="F35" s="3">
        <f>IFERROR(60/AVERAGE($C$5:C35), 0)</f>
        <v>0.98569157392686813</v>
      </c>
      <c r="G35" s="3">
        <f>IFERROR(E35/F35, 0)</f>
        <v>1.7375690607734806</v>
      </c>
      <c r="H35" s="3">
        <f>IF(G35&lt;4, 1/(1 + G35 + (G35^2)/2 + (G35^3)/6 + (G35^4)/(24*(1-(G35/4)))), "Przeciążenie")</f>
        <v>0.17262318153082987</v>
      </c>
      <c r="I35" s="3">
        <f>IF(G35&lt;4, (H35*(G35^5))/(96*(1-(G35/4))^2), "Przeciążenie")</f>
        <v>8.9024097236242675E-2</v>
      </c>
      <c r="J35" s="3">
        <f>IF(ISNUMBER(I35), IFERROR(I35/E35, 0), "Przeciążenie")</f>
        <v>5.1978585805677172E-2</v>
      </c>
    </row>
    <row r="36" spans="1:10">
      <c r="A36" s="2">
        <v>32</v>
      </c>
      <c r="B36" s="2">
        <v>50</v>
      </c>
      <c r="C36" s="2">
        <v>60</v>
      </c>
      <c r="D36" s="3">
        <f>SUM($B$5:B36)/60</f>
        <v>18.933333333333334</v>
      </c>
      <c r="E36" s="3">
        <f>IFERROR(60/AVERAGE($B$5:B36), 0)</f>
        <v>1.6901408450704225</v>
      </c>
      <c r="F36" s="3">
        <f>IFERROR(60/AVERAGE($C$5:C36), 0)</f>
        <v>0.98613251155624038</v>
      </c>
      <c r="G36" s="3">
        <f>IFERROR(E36/F36, 0)</f>
        <v>1.7139084507042253</v>
      </c>
      <c r="H36" s="3">
        <f>IF(G36&lt;4, 1/(1 + G36 + (G36^2)/2 + (G36^3)/6 + (G36^4)/(24*(1-(G36/4)))), "Przeciążenie")</f>
        <v>0.17696530802253038</v>
      </c>
      <c r="I36" s="3">
        <f>IF(G36&lt;4, (H36*(G36^5))/(96*(1-(G36/4))^2), "Przeciążenie")</f>
        <v>8.3461800651513152E-2</v>
      </c>
      <c r="J36" s="3">
        <f>IF(ISNUMBER(I36), IFERROR(I36/E36, 0), "Przeciążenie")</f>
        <v>4.9381565385478617E-2</v>
      </c>
    </row>
  </sheetData>
  <mergeCells count="1">
    <mergeCell ref="A1:J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2026-03-02T11:42:00Z</dcterms:created>
  <dcterms:modified xsi:type="dcterms:W3CDTF">2026-03-02T11:47:51Z</dcterms:modified>
  <cp:category/>
  <cp:contentStatus/>
</cp:coreProperties>
</file>